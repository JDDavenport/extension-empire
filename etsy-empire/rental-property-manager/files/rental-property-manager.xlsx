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Dashboard" sheetId="1" state="visible" r:id="rId1"/>
    <sheet xmlns:r="http://schemas.openxmlformats.org/officeDocument/2006/relationships" name="Tenant Tracker" sheetId="2" state="visible" r:id="rId2"/>
    <sheet xmlns:r="http://schemas.openxmlformats.org/officeDocument/2006/relationships" name="Rent Roll" sheetId="3" state="visible" r:id="rId3"/>
    <sheet xmlns:r="http://schemas.openxmlformats.org/officeDocument/2006/relationships" name="Maintenance Log" sheetId="4" state="visible" r:id="rId4"/>
    <sheet xmlns:r="http://schemas.openxmlformats.org/officeDocument/2006/relationships" name="Expense Tracker" sheetId="5" state="visible" r:id="rId5"/>
    <sheet xmlns:r="http://schemas.openxmlformats.org/officeDocument/2006/relationships" name="P&amp;L Calculat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sz val="12"/>
    </font>
    <font>
      <b val="1"/>
    </font>
    <font>
      <b val="1"/>
      <color rgb="001A3C6E"/>
      <sz val="12"/>
    </font>
    <font>
      <b val="1"/>
      <color rgb="00006600"/>
      <sz val="12"/>
    </font>
  </fonts>
  <fills count="3">
    <fill>
      <patternFill/>
    </fill>
    <fill>
      <patternFill patternType="gray125"/>
    </fill>
    <fill>
      <patternFill patternType="solid">
        <fgColor rgb="001A3C6E"/>
        <bgColor rgb="001A3C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165" fontId="2" fillId="0" borderId="0" pivotButton="0" quotePrefix="0" xfId="0"/>
    <xf numFmtId="165" fontId="3" fillId="0" borderId="0" pivotButton="0" quotePrefix="0" xfId="0"/>
    <xf numFmtId="0" fontId="4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0" fontId="5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8" customWidth="1" min="4" max="4"/>
    <col width="10" customWidth="1" min="5" max="5"/>
    <col width="12" customWidth="1" min="6" max="6"/>
    <col width="16" customWidth="1" min="7" max="7"/>
    <col width="16" customWidth="1" min="8" max="8"/>
    <col width="14" customWidth="1" min="9" max="9"/>
    <col width="10" customWidth="1" min="10" max="10"/>
    <col width="16" customWidth="1" min="11" max="11"/>
  </cols>
  <sheetData>
    <row r="1">
      <c r="A1" s="1" t="inlineStr">
        <is>
          <t>Property Name</t>
        </is>
      </c>
      <c r="B1" s="1" t="inlineStr">
        <is>
          <t>Address</t>
        </is>
      </c>
      <c r="C1" s="1" t="inlineStr">
        <is>
          <t>Type</t>
        </is>
      </c>
      <c r="D1" s="1" t="inlineStr">
        <is>
          <t>Units</t>
        </is>
      </c>
      <c r="E1" s="1" t="inlineStr">
        <is>
          <t>Occupied</t>
        </is>
      </c>
      <c r="F1" s="1" t="inlineStr">
        <is>
          <t>Vacancy Rate</t>
        </is>
      </c>
      <c r="G1" s="1" t="inlineStr">
        <is>
          <t>Monthly Income</t>
        </is>
      </c>
      <c r="H1" s="1" t="inlineStr">
        <is>
          <t>Monthly Expenses</t>
        </is>
      </c>
      <c r="I1" s="1" t="inlineStr">
        <is>
          <t>Net Income</t>
        </is>
      </c>
      <c r="J1" s="1" t="inlineStr">
        <is>
          <t>Cap Rate</t>
        </is>
      </c>
      <c r="K1" s="1" t="inlineStr">
        <is>
          <t>Property Value</t>
        </is>
      </c>
    </row>
    <row r="2">
      <c r="A2" s="2" t="inlineStr">
        <is>
          <t>Maple Street Duplex</t>
        </is>
      </c>
      <c r="B2" s="2" t="inlineStr">
        <is>
          <t>123 Maple St, Denver, CO</t>
        </is>
      </c>
      <c r="C2" s="2" t="inlineStr">
        <is>
          <t>Duplex</t>
        </is>
      </c>
      <c r="D2" s="2" t="n">
        <v>2</v>
      </c>
      <c r="E2" s="2" t="n">
        <v>2</v>
      </c>
      <c r="F2" s="3">
        <f>1-(E2/D2)</f>
        <v/>
      </c>
      <c r="G2" s="4" t="n">
        <v>3200</v>
      </c>
      <c r="H2" s="4" t="n">
        <v>1800</v>
      </c>
      <c r="I2" s="4">
        <f>G2-H2</f>
        <v/>
      </c>
      <c r="J2" s="3">
        <f>(I2*12)/K2</f>
        <v/>
      </c>
      <c r="K2" s="4" t="n">
        <v>380000</v>
      </c>
    </row>
    <row r="3">
      <c r="A3" s="2" t="inlineStr">
        <is>
          <t>Oak Avenue Apartments</t>
        </is>
      </c>
      <c r="B3" s="2" t="inlineStr">
        <is>
          <t>456 Oak Ave, Denver, CO</t>
        </is>
      </c>
      <c r="C3" s="2" t="inlineStr">
        <is>
          <t>Multi-Family</t>
        </is>
      </c>
      <c r="D3" s="2" t="n">
        <v>8</v>
      </c>
      <c r="E3" s="2" t="n">
        <v>7</v>
      </c>
      <c r="F3" s="3">
        <f>1-(E3/D3)</f>
        <v/>
      </c>
      <c r="G3" s="4" t="n">
        <v>12800</v>
      </c>
      <c r="H3" s="4" t="n">
        <v>7200</v>
      </c>
      <c r="I3" s="4">
        <f>G3-H3</f>
        <v/>
      </c>
      <c r="J3" s="3">
        <f>(I3*12)/K3</f>
        <v/>
      </c>
      <c r="K3" s="4" t="n">
        <v>1200000</v>
      </c>
    </row>
    <row r="4">
      <c r="A4" s="2" t="inlineStr">
        <is>
          <t>Pine Road House</t>
        </is>
      </c>
      <c r="B4" s="2" t="inlineStr">
        <is>
          <t>789 Pine Rd, Boulder, CO</t>
        </is>
      </c>
      <c r="C4" s="2" t="inlineStr">
        <is>
          <t>Single Family</t>
        </is>
      </c>
      <c r="D4" s="2" t="n">
        <v>1</v>
      </c>
      <c r="E4" s="2" t="n">
        <v>1</v>
      </c>
      <c r="F4" s="3">
        <f>1-(E4/D4)</f>
        <v/>
      </c>
      <c r="G4" s="4" t="n">
        <v>2100</v>
      </c>
      <c r="H4" s="4" t="n">
        <v>1200</v>
      </c>
      <c r="I4" s="4">
        <f>G4-H4</f>
        <v/>
      </c>
      <c r="J4" s="3">
        <f>(I4*12)/K4</f>
        <v/>
      </c>
      <c r="K4" s="4" t="n">
        <v>425000</v>
      </c>
    </row>
    <row r="5">
      <c r="A5" s="2" t="inlineStr">
        <is>
          <t>Cedar Court Townhome</t>
        </is>
      </c>
      <c r="B5" s="2" t="inlineStr">
        <is>
          <t>321 Cedar Ct, Lakewood, CO</t>
        </is>
      </c>
      <c r="C5" s="2" t="inlineStr">
        <is>
          <t>Townhome</t>
        </is>
      </c>
      <c r="D5" s="2" t="n">
        <v>1</v>
      </c>
      <c r="E5" s="2" t="n">
        <v>0</v>
      </c>
      <c r="F5" s="3">
        <f>1-(E5/D5)</f>
        <v/>
      </c>
      <c r="G5" s="4" t="n">
        <v>0</v>
      </c>
      <c r="H5" s="4" t="n">
        <v>650</v>
      </c>
      <c r="I5" s="4">
        <f>G5-H5</f>
        <v/>
      </c>
      <c r="J5" s="3">
        <f>(I5*12)/K5</f>
        <v/>
      </c>
      <c r="K5" s="4" t="n">
        <v>350000</v>
      </c>
    </row>
    <row r="6">
      <c r="A6" s="2" t="inlineStr">
        <is>
          <t>Elm Street Fourplex</t>
        </is>
      </c>
      <c r="B6" s="2" t="inlineStr">
        <is>
          <t>654 Elm St, Aurora, CO</t>
        </is>
      </c>
      <c r="C6" s="2" t="inlineStr">
        <is>
          <t>Multi-Family</t>
        </is>
      </c>
      <c r="D6" s="2" t="n">
        <v>4</v>
      </c>
      <c r="E6" s="2" t="n">
        <v>4</v>
      </c>
      <c r="F6" s="3">
        <f>1-(E6/D6)</f>
        <v/>
      </c>
      <c r="G6" s="4" t="n">
        <v>6400</v>
      </c>
      <c r="H6" s="4" t="n">
        <v>3600</v>
      </c>
      <c r="I6" s="4">
        <f>G6-H6</f>
        <v/>
      </c>
      <c r="J6" s="3">
        <f>(I6*12)/K6</f>
        <v/>
      </c>
      <c r="K6" s="4" t="n">
        <v>680000</v>
      </c>
    </row>
    <row r="8">
      <c r="A8" s="5" t="inlineStr">
        <is>
          <t>PORTFOLIO TOTALS</t>
        </is>
      </c>
      <c r="D8" s="5">
        <f>SUM(D2:D6)</f>
        <v/>
      </c>
      <c r="E8" s="5">
        <f>SUM(E2:E6)</f>
        <v/>
      </c>
      <c r="F8" s="6">
        <f>1-(E8/D8)</f>
        <v/>
      </c>
      <c r="G8" s="7">
        <f>SUM(G2:G6)</f>
        <v/>
      </c>
      <c r="H8" s="7">
        <f>SUM(H2:H6)</f>
        <v/>
      </c>
      <c r="I8" s="7">
        <f>SUM(I2:I6)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16" customWidth="1" min="4" max="4"/>
    <col width="22" customWidth="1" min="5" max="5"/>
    <col width="12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22" customWidth="1" min="12" max="12"/>
  </cols>
  <sheetData>
    <row r="1">
      <c r="A1" s="1" t="inlineStr">
        <is>
          <t>Property</t>
        </is>
      </c>
      <c r="B1" s="1" t="inlineStr">
        <is>
          <t>Unit</t>
        </is>
      </c>
      <c r="C1" s="1" t="inlineStr">
        <is>
          <t>Tenant 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Lease Start</t>
        </is>
      </c>
      <c r="G1" s="1" t="inlineStr">
        <is>
          <t>Lease End</t>
        </is>
      </c>
      <c r="H1" s="1" t="inlineStr">
        <is>
          <t>Monthly Rent</t>
        </is>
      </c>
      <c r="I1" s="1" t="inlineStr">
        <is>
          <t>Security Deposit</t>
        </is>
      </c>
      <c r="J1" s="1" t="inlineStr">
        <is>
          <t>Lease Status</t>
        </is>
      </c>
      <c r="K1" s="1" t="inlineStr">
        <is>
          <t>Days Until Expiry</t>
        </is>
      </c>
      <c r="L1" s="1" t="inlineStr">
        <is>
          <t>Notes</t>
        </is>
      </c>
    </row>
    <row r="2">
      <c r="A2" s="2" t="inlineStr">
        <is>
          <t>Maple Street Duplex</t>
        </is>
      </c>
      <c r="B2" s="2" t="inlineStr">
        <is>
          <t>A</t>
        </is>
      </c>
      <c r="C2" s="2" t="inlineStr">
        <is>
          <t>Sarah Johnson</t>
        </is>
      </c>
      <c r="D2" s="2" t="inlineStr">
        <is>
          <t>(555) 111-2222</t>
        </is>
      </c>
      <c r="E2" s="2" t="inlineStr">
        <is>
          <t>sarah@email.com</t>
        </is>
      </c>
      <c r="F2" s="2" t="inlineStr">
        <is>
          <t>2025-06-01</t>
        </is>
      </c>
      <c r="G2" s="2" t="inlineStr">
        <is>
          <t>2026-05-31</t>
        </is>
      </c>
      <c r="H2" s="4" t="n">
        <v>1600</v>
      </c>
      <c r="I2" s="4" t="n">
        <v>1600</v>
      </c>
      <c r="J2" s="2">
        <f>IF(G2="","",IF(G2&lt;TODAY(),"EXPIRED",IF(G2-TODAY()&lt;60,"EXPIRING SOON","ACTIVE")))</f>
        <v/>
      </c>
      <c r="K2" s="2">
        <f>IF(G2="","",G2-TODAY())</f>
        <v/>
      </c>
      <c r="L2" s="2" t="inlineStr">
        <is>
          <t>Excellent tenant</t>
        </is>
      </c>
    </row>
    <row r="3">
      <c r="A3" s="2" t="inlineStr">
        <is>
          <t>Maple Street Duplex</t>
        </is>
      </c>
      <c r="B3" s="2" t="inlineStr">
        <is>
          <t>B</t>
        </is>
      </c>
      <c r="C3" s="2" t="inlineStr">
        <is>
          <t>Mike Chen</t>
        </is>
      </c>
      <c r="D3" s="2" t="inlineStr">
        <is>
          <t>(555) 222-3333</t>
        </is>
      </c>
      <c r="E3" s="2" t="inlineStr">
        <is>
          <t>mike@email.com</t>
        </is>
      </c>
      <c r="F3" s="2" t="inlineStr">
        <is>
          <t>2025-09-01</t>
        </is>
      </c>
      <c r="G3" s="2" t="inlineStr">
        <is>
          <t>2026-08-31</t>
        </is>
      </c>
      <c r="H3" s="4" t="n">
        <v>1600</v>
      </c>
      <c r="I3" s="4" t="n">
        <v>1600</v>
      </c>
      <c r="J3" s="2">
        <f>IF(G3="","",IF(G3&lt;TODAY(),"EXPIRED",IF(G3-TODAY()&lt;60,"EXPIRING SOON","ACTIVE")))</f>
        <v/>
      </c>
      <c r="K3" s="2">
        <f>IF(G3="","",G3-TODAY())</f>
        <v/>
      </c>
      <c r="L3" s="2" t="inlineStr">
        <is>
          <t>Has 1 cat</t>
        </is>
      </c>
    </row>
    <row r="4">
      <c r="A4" s="2" t="inlineStr">
        <is>
          <t>Oak Avenue Apartments</t>
        </is>
      </c>
      <c r="B4" s="2" t="inlineStr">
        <is>
          <t>101</t>
        </is>
      </c>
      <c r="C4" s="2" t="inlineStr">
        <is>
          <t>Lisa White</t>
        </is>
      </c>
      <c r="D4" s="2" t="inlineStr">
        <is>
          <t>(555) 333-4444</t>
        </is>
      </c>
      <c r="E4" s="2" t="inlineStr">
        <is>
          <t>lisa@email.com</t>
        </is>
      </c>
      <c r="F4" s="2" t="inlineStr">
        <is>
          <t>2025-03-01</t>
        </is>
      </c>
      <c r="G4" s="2" t="inlineStr">
        <is>
          <t>2026-02-28</t>
        </is>
      </c>
      <c r="H4" s="4" t="n">
        <v>1600</v>
      </c>
      <c r="I4" s="4" t="n">
        <v>1600</v>
      </c>
      <c r="J4" s="2">
        <f>IF(G4="","",IF(G4&lt;TODAY(),"EXPIRED",IF(G4-TODAY()&lt;60,"EXPIRING SOON","ACTIVE")))</f>
        <v/>
      </c>
      <c r="K4" s="2">
        <f>IF(G4="","",G4-TODAY())</f>
        <v/>
      </c>
      <c r="L4" s="2" t="inlineStr">
        <is>
          <t>Renewing</t>
        </is>
      </c>
    </row>
    <row r="5">
      <c r="A5" s="2" t="inlineStr">
        <is>
          <t>Oak Avenue Apartments</t>
        </is>
      </c>
      <c r="B5" s="2" t="inlineStr">
        <is>
          <t>102</t>
        </is>
      </c>
      <c r="C5" s="2" t="inlineStr">
        <is>
          <t>James Brown</t>
        </is>
      </c>
      <c r="D5" s="2" t="inlineStr">
        <is>
          <t>(555) 444-5555</t>
        </is>
      </c>
      <c r="E5" s="2" t="inlineStr">
        <is>
          <t>james@email.com</t>
        </is>
      </c>
      <c r="F5" s="2" t="inlineStr">
        <is>
          <t>2025-07-15</t>
        </is>
      </c>
      <c r="G5" s="2" t="inlineStr">
        <is>
          <t>2026-07-14</t>
        </is>
      </c>
      <c r="H5" s="4" t="n">
        <v>1600</v>
      </c>
      <c r="I5" s="4" t="n">
        <v>1600</v>
      </c>
      <c r="J5" s="2">
        <f>IF(G5="","",IF(G5&lt;TODAY(),"EXPIRED",IF(G5-TODAY()&lt;60,"EXPIRING SOON","ACTIVE")))</f>
        <v/>
      </c>
      <c r="K5" s="2">
        <f>IF(G5="","",G5-TODAY())</f>
        <v/>
      </c>
      <c r="L5" s="2" t="inlineStr"/>
    </row>
    <row r="6">
      <c r="A6" s="2" t="inlineStr">
        <is>
          <t>Oak Avenue Apartments</t>
        </is>
      </c>
      <c r="B6" s="2" t="inlineStr">
        <is>
          <t>201</t>
        </is>
      </c>
      <c r="C6" s="2" t="inlineStr">
        <is>
          <t>Emma Davis</t>
        </is>
      </c>
      <c r="D6" s="2" t="inlineStr">
        <is>
          <t>(555) 555-6666</t>
        </is>
      </c>
      <c r="E6" s="2" t="inlineStr">
        <is>
          <t>emma@email.com</t>
        </is>
      </c>
      <c r="F6" s="2" t="inlineStr">
        <is>
          <t>2025-01-01</t>
        </is>
      </c>
      <c r="G6" s="2" t="inlineStr">
        <is>
          <t>2025-12-31</t>
        </is>
      </c>
      <c r="H6" s="4" t="n">
        <v>1600</v>
      </c>
      <c r="I6" s="4" t="n">
        <v>1600</v>
      </c>
      <c r="J6" s="2">
        <f>IF(G6="","",IF(G6&lt;TODAY(),"EXPIRED",IF(G6-TODAY()&lt;60,"EXPIRING SOON","ACTIVE")))</f>
        <v/>
      </c>
      <c r="K6" s="2">
        <f>IF(G6="","",G6-TODAY())</f>
        <v/>
      </c>
      <c r="L6" s="2" t="inlineStr">
        <is>
          <t>Month-to-month</t>
        </is>
      </c>
    </row>
    <row r="7">
      <c r="A7" s="2" t="inlineStr">
        <is>
          <t>Pine Road House</t>
        </is>
      </c>
      <c r="B7" s="2" t="inlineStr">
        <is>
          <t>-</t>
        </is>
      </c>
      <c r="C7" s="2" t="inlineStr">
        <is>
          <t>Robert Taylor</t>
        </is>
      </c>
      <c r="D7" s="2" t="inlineStr">
        <is>
          <t>(555) 666-7777</t>
        </is>
      </c>
      <c r="E7" s="2" t="inlineStr">
        <is>
          <t>robert@email.com</t>
        </is>
      </c>
      <c r="F7" s="2" t="inlineStr">
        <is>
          <t>2025-04-01</t>
        </is>
      </c>
      <c r="G7" s="2" t="inlineStr">
        <is>
          <t>2026-03-31</t>
        </is>
      </c>
      <c r="H7" s="4" t="n">
        <v>2100</v>
      </c>
      <c r="I7" s="4" t="n">
        <v>2100</v>
      </c>
      <c r="J7" s="2">
        <f>IF(G7="","",IF(G7&lt;TODAY(),"EXPIRED",IF(G7-TODAY()&lt;60,"EXPIRING SOON","ACTIVE")))</f>
        <v/>
      </c>
      <c r="K7" s="2">
        <f>IF(G7="","",G7-TODAY())</f>
        <v/>
      </c>
      <c r="L7" s="2" t="inlineStr">
        <is>
          <t>Great tenant, maintains yard</t>
        </is>
      </c>
    </row>
    <row r="8">
      <c r="A8" s="2" t="inlineStr">
        <is>
          <t>Elm Street Fourplex</t>
        </is>
      </c>
      <c r="B8" s="2" t="inlineStr">
        <is>
          <t>1</t>
        </is>
      </c>
      <c r="C8" s="2" t="inlineStr">
        <is>
          <t>Amy Wilson</t>
        </is>
      </c>
      <c r="D8" s="2" t="inlineStr">
        <is>
          <t>(555) 777-8888</t>
        </is>
      </c>
      <c r="E8" s="2" t="inlineStr">
        <is>
          <t>amy@email.com</t>
        </is>
      </c>
      <c r="F8" s="2" t="inlineStr">
        <is>
          <t>2025-08-01</t>
        </is>
      </c>
      <c r="G8" s="2" t="inlineStr">
        <is>
          <t>2026-07-31</t>
        </is>
      </c>
      <c r="H8" s="4" t="n">
        <v>1600</v>
      </c>
      <c r="I8" s="4" t="n">
        <v>1600</v>
      </c>
      <c r="J8" s="2">
        <f>IF(G8="","",IF(G8&lt;TODAY(),"EXPIRED",IF(G8-TODAY()&lt;60,"EXPIRING SOON","ACTIVE")))</f>
        <v/>
      </c>
      <c r="K8" s="2">
        <f>IF(G8="","",G8-TODAY())</f>
        <v/>
      </c>
      <c r="L8" s="2" t="inlineStr"/>
    </row>
  </sheetData>
  <conditionalFormatting sqref="J2:J50">
    <cfRule type="cellIs" priority="1" operator="equal" dxfId="0">
      <formula>"EXPIRED"</formula>
    </cfRule>
    <cfRule type="cellIs" priority="2" operator="equal" dxfId="1">
      <formula>"EXPIRING SOON"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16" customWidth="1" min="17" max="17"/>
    <col width="14" customWidth="1" min="18" max="18"/>
  </cols>
  <sheetData>
    <row r="1">
      <c r="A1" s="1" t="inlineStr">
        <is>
          <t>Property</t>
        </is>
      </c>
      <c r="B1" s="1" t="inlineStr">
        <is>
          <t>Unit</t>
        </is>
      </c>
      <c r="C1" s="1" t="inlineStr">
        <is>
          <t>Tenant</t>
        </is>
      </c>
      <c r="D1" s="1" t="inlineStr">
        <is>
          <t>Monthly Rent</t>
        </is>
      </c>
      <c r="E1" s="1" t="inlineStr">
        <is>
          <t>Jan</t>
        </is>
      </c>
      <c r="F1" s="1" t="inlineStr">
        <is>
          <t>Feb</t>
        </is>
      </c>
      <c r="G1" s="1" t="inlineStr">
        <is>
          <t>Mar</t>
        </is>
      </c>
      <c r="H1" s="1" t="inlineStr">
        <is>
          <t>Apr</t>
        </is>
      </c>
      <c r="I1" s="1" t="inlineStr">
        <is>
          <t>May</t>
        </is>
      </c>
      <c r="J1" s="1" t="inlineStr">
        <is>
          <t>Jun</t>
        </is>
      </c>
      <c r="K1" s="1" t="inlineStr">
        <is>
          <t>Jul</t>
        </is>
      </c>
      <c r="L1" s="1" t="inlineStr">
        <is>
          <t>Aug</t>
        </is>
      </c>
      <c r="M1" s="1" t="inlineStr">
        <is>
          <t>Sep</t>
        </is>
      </c>
      <c r="N1" s="1" t="inlineStr">
        <is>
          <t>Oct</t>
        </is>
      </c>
      <c r="O1" s="1" t="inlineStr">
        <is>
          <t>Nov</t>
        </is>
      </c>
      <c r="P1" s="1" t="inlineStr">
        <is>
          <t>Dec</t>
        </is>
      </c>
      <c r="Q1" s="1" t="inlineStr">
        <is>
          <t>Total Collected</t>
        </is>
      </c>
      <c r="R1" s="1" t="inlineStr">
        <is>
          <t>Balance Due</t>
        </is>
      </c>
    </row>
    <row r="2">
      <c r="A2" s="2" t="inlineStr">
        <is>
          <t>Maple St Duplex</t>
        </is>
      </c>
      <c r="B2" s="2" t="inlineStr">
        <is>
          <t>A</t>
        </is>
      </c>
      <c r="C2" s="2" t="inlineStr">
        <is>
          <t>Sarah Johnson</t>
        </is>
      </c>
      <c r="D2" s="4" t="n">
        <v>1600</v>
      </c>
      <c r="E2" s="2" t="inlineStr">
        <is>
          <t>✓</t>
        </is>
      </c>
      <c r="F2" s="2" t="inlineStr">
        <is>
          <t>✓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4">
        <f>COUNTIF(E2:P2,"✓")*D2</f>
        <v/>
      </c>
      <c r="R2" s="4">
        <f>(D2*12)-Q2</f>
        <v/>
      </c>
    </row>
    <row r="3">
      <c r="A3" s="2" t="inlineStr">
        <is>
          <t>Maple St Duplex</t>
        </is>
      </c>
      <c r="B3" s="2" t="inlineStr">
        <is>
          <t>B</t>
        </is>
      </c>
      <c r="C3" s="2" t="inlineStr">
        <is>
          <t>Mike Chen</t>
        </is>
      </c>
      <c r="D3" s="4" t="n">
        <v>1600</v>
      </c>
      <c r="E3" s="2" t="inlineStr">
        <is>
          <t>✓</t>
        </is>
      </c>
      <c r="F3" s="2" t="inlineStr">
        <is>
          <t>✓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4">
        <f>COUNTIF(E3:P3,"✓")*D3</f>
        <v/>
      </c>
      <c r="R3" s="4">
        <f>(D3*12)-Q3</f>
        <v/>
      </c>
    </row>
    <row r="4">
      <c r="A4" s="2" t="inlineStr">
        <is>
          <t>Oak Ave Apts</t>
        </is>
      </c>
      <c r="B4" s="2" t="inlineStr">
        <is>
          <t>101</t>
        </is>
      </c>
      <c r="C4" s="2" t="inlineStr">
        <is>
          <t>Lisa White</t>
        </is>
      </c>
      <c r="D4" s="4" t="n">
        <v>1600</v>
      </c>
      <c r="E4" s="2" t="inlineStr">
        <is>
          <t>✓</t>
        </is>
      </c>
      <c r="F4" s="2" t="inlineStr">
        <is>
          <t>LATE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4">
        <f>COUNTIF(E4:P4,"✓")*D4</f>
        <v/>
      </c>
      <c r="R4" s="4">
        <f>(D4*12)-Q4</f>
        <v/>
      </c>
    </row>
    <row r="5">
      <c r="A5" s="2" t="inlineStr">
        <is>
          <t>Oak Ave Apts</t>
        </is>
      </c>
      <c r="B5" s="2" t="inlineStr">
        <is>
          <t>102</t>
        </is>
      </c>
      <c r="C5" s="2" t="inlineStr">
        <is>
          <t>James Brown</t>
        </is>
      </c>
      <c r="D5" s="4" t="n">
        <v>1600</v>
      </c>
      <c r="E5" s="2" t="inlineStr">
        <is>
          <t>✓</t>
        </is>
      </c>
      <c r="F5" s="2" t="inlineStr">
        <is>
          <t>✓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4">
        <f>COUNTIF(E5:P5,"✓")*D5</f>
        <v/>
      </c>
      <c r="R5" s="4">
        <f>(D5*12)-Q5</f>
        <v/>
      </c>
    </row>
    <row r="6">
      <c r="A6" s="2" t="inlineStr">
        <is>
          <t>Pine Rd House</t>
        </is>
      </c>
      <c r="B6" s="2" t="inlineStr">
        <is>
          <t>-</t>
        </is>
      </c>
      <c r="C6" s="2" t="inlineStr">
        <is>
          <t>Robert Taylor</t>
        </is>
      </c>
      <c r="D6" s="4" t="n">
        <v>2100</v>
      </c>
      <c r="E6" s="2" t="inlineStr">
        <is>
          <t>✓</t>
        </is>
      </c>
      <c r="F6" s="2" t="inlineStr">
        <is>
          <t>✓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4">
        <f>COUNTIF(E6:P6,"✓")*D6</f>
        <v/>
      </c>
      <c r="R6" s="4">
        <f>(D6*12)-Q6</f>
        <v/>
      </c>
    </row>
    <row r="7">
      <c r="A7" s="2" t="inlineStr">
        <is>
          <t>Elm St 4plex</t>
        </is>
      </c>
      <c r="B7" s="2" t="inlineStr">
        <is>
          <t>1</t>
        </is>
      </c>
      <c r="C7" s="2" t="inlineStr">
        <is>
          <t>Amy Wilson</t>
        </is>
      </c>
      <c r="D7" s="4" t="n">
        <v>1600</v>
      </c>
      <c r="E7" s="2" t="inlineStr">
        <is>
          <t>✓</t>
        </is>
      </c>
      <c r="F7" s="2" t="inlineStr">
        <is>
          <t>✓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4">
        <f>COUNTIF(E7:P7,"✓")*D7</f>
        <v/>
      </c>
      <c r="R7" s="4">
        <f>(D7*12)-Q7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6" customWidth="1" min="3" max="3"/>
    <col width="16" customWidth="1" min="4" max="4"/>
    <col width="28" customWidth="1" min="5" max="5"/>
    <col width="10" customWidth="1" min="6" max="6"/>
    <col width="18" customWidth="1" min="7" max="7"/>
    <col width="14" customWidth="1" min="8" max="8"/>
    <col width="10" customWidth="1" min="9" max="9"/>
    <col width="12" customWidth="1" min="10" max="10"/>
    <col width="24" customWidth="1" min="11" max="11"/>
  </cols>
  <sheetData>
    <row r="1">
      <c r="A1" s="1" t="inlineStr">
        <is>
          <t>Date Reported</t>
        </is>
      </c>
      <c r="B1" s="1" t="inlineStr">
        <is>
          <t>Property</t>
        </is>
      </c>
      <c r="C1" s="1" t="inlineStr">
        <is>
          <t>Unit</t>
        </is>
      </c>
      <c r="D1" s="1" t="inlineStr">
        <is>
          <t>Reported By</t>
        </is>
      </c>
      <c r="E1" s="1" t="inlineStr">
        <is>
          <t>Issue Description</t>
        </is>
      </c>
      <c r="F1" s="1" t="inlineStr">
        <is>
          <t>Priority</t>
        </is>
      </c>
      <c r="G1" s="1" t="inlineStr">
        <is>
          <t>Assigned To</t>
        </is>
      </c>
      <c r="H1" s="1" t="inlineStr">
        <is>
          <t>Date Completed</t>
        </is>
      </c>
      <c r="I1" s="1" t="inlineStr">
        <is>
          <t>Cost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2026-01-15</t>
        </is>
      </c>
      <c r="B2" s="2" t="inlineStr">
        <is>
          <t>Maple St Duplex</t>
        </is>
      </c>
      <c r="C2" s="2" t="inlineStr">
        <is>
          <t>A</t>
        </is>
      </c>
      <c r="D2" s="2" t="inlineStr">
        <is>
          <t>Sarah Johnson</t>
        </is>
      </c>
      <c r="E2" s="2" t="inlineStr">
        <is>
          <t>Leaky kitchen faucet</t>
        </is>
      </c>
      <c r="F2" s="2" t="inlineStr">
        <is>
          <t>Medium</t>
        </is>
      </c>
      <c r="G2" s="2" t="inlineStr">
        <is>
          <t>Bob's Plumbing</t>
        </is>
      </c>
      <c r="H2" s="2" t="inlineStr">
        <is>
          <t>2026-01-17</t>
        </is>
      </c>
      <c r="I2" s="4" t="n">
        <v>185</v>
      </c>
      <c r="J2" s="2" t="inlineStr">
        <is>
          <t>Complete</t>
        </is>
      </c>
      <c r="K2" s="2" t="inlineStr">
        <is>
          <t>Replaced washer</t>
        </is>
      </c>
    </row>
    <row r="3">
      <c r="A3" s="2" t="inlineStr">
        <is>
          <t>2026-01-22</t>
        </is>
      </c>
      <c r="B3" s="2" t="inlineStr">
        <is>
          <t>Oak Ave Apts</t>
        </is>
      </c>
      <c r="C3" s="2" t="inlineStr">
        <is>
          <t>201</t>
        </is>
      </c>
      <c r="D3" s="2" t="inlineStr">
        <is>
          <t>Emma Davis</t>
        </is>
      </c>
      <c r="E3" s="2" t="inlineStr">
        <is>
          <t>Heater not working</t>
        </is>
      </c>
      <c r="F3" s="2" t="inlineStr">
        <is>
          <t>High</t>
        </is>
      </c>
      <c r="G3" s="2" t="inlineStr">
        <is>
          <t>HVAC Pros</t>
        </is>
      </c>
      <c r="H3" s="2" t="inlineStr">
        <is>
          <t>2026-01-23</t>
        </is>
      </c>
      <c r="I3" s="4" t="n">
        <v>350</v>
      </c>
      <c r="J3" s="2" t="inlineStr">
        <is>
          <t>Complete</t>
        </is>
      </c>
      <c r="K3" s="2" t="inlineStr">
        <is>
          <t>Replaced ignitor</t>
        </is>
      </c>
    </row>
    <row r="4">
      <c r="A4" s="2" t="inlineStr">
        <is>
          <t>2026-02-01</t>
        </is>
      </c>
      <c r="B4" s="2" t="inlineStr">
        <is>
          <t>Pine Rd House</t>
        </is>
      </c>
      <c r="C4" s="2" t="inlineStr">
        <is>
          <t>-</t>
        </is>
      </c>
      <c r="D4" s="2" t="inlineStr">
        <is>
          <t>Robert Taylor</t>
        </is>
      </c>
      <c r="E4" s="2" t="inlineStr">
        <is>
          <t>Garage door opener broken</t>
        </is>
      </c>
      <c r="F4" s="2" t="inlineStr">
        <is>
          <t>Low</t>
        </is>
      </c>
      <c r="G4" s="2" t="inlineStr">
        <is>
          <t>Overhead Door Co</t>
        </is>
      </c>
      <c r="H4" s="2" t="inlineStr">
        <is>
          <t>2026-02-08</t>
        </is>
      </c>
      <c r="I4" s="4" t="n">
        <v>275</v>
      </c>
      <c r="J4" s="2" t="inlineStr">
        <is>
          <t>Complete</t>
        </is>
      </c>
      <c r="K4" s="2" t="inlineStr">
        <is>
          <t>New motor installed</t>
        </is>
      </c>
    </row>
    <row r="5">
      <c r="A5" s="2" t="inlineStr">
        <is>
          <t>2026-02-10</t>
        </is>
      </c>
      <c r="B5" s="2" t="inlineStr">
        <is>
          <t>Elm St 4plex</t>
        </is>
      </c>
      <c r="C5" s="2" t="inlineStr">
        <is>
          <t>3</t>
        </is>
      </c>
      <c r="D5" s="2" t="inlineStr">
        <is>
          <t>Tenant</t>
        </is>
      </c>
      <c r="E5" s="2" t="inlineStr">
        <is>
          <t>Bathroom fan noisy</t>
        </is>
      </c>
      <c r="F5" s="2" t="inlineStr">
        <is>
          <t>Low</t>
        </is>
      </c>
      <c r="G5" s="2" t="inlineStr"/>
      <c r="H5" s="2" t="inlineStr"/>
      <c r="I5" s="4" t="n">
        <v>0</v>
      </c>
      <c r="J5" s="2" t="inlineStr">
        <is>
          <t>Open</t>
        </is>
      </c>
      <c r="K5" s="2" t="inlineStr">
        <is>
          <t>Scheduled for 2/20</t>
        </is>
      </c>
    </row>
    <row r="6">
      <c r="A6" s="2" t="inlineStr">
        <is>
          <t>2026-02-14</t>
        </is>
      </c>
      <c r="B6" s="2" t="inlineStr">
        <is>
          <t>Oak Ave Apts</t>
        </is>
      </c>
      <c r="C6" s="2" t="inlineStr">
        <is>
          <t>102</t>
        </is>
      </c>
      <c r="D6" s="2" t="inlineStr">
        <is>
          <t>James Brown</t>
        </is>
      </c>
      <c r="E6" s="2" t="inlineStr">
        <is>
          <t>Dishwasher leaking</t>
        </is>
      </c>
      <c r="F6" s="2" t="inlineStr">
        <is>
          <t>Medium</t>
        </is>
      </c>
      <c r="G6" s="2" t="inlineStr">
        <is>
          <t>Appliance Fix</t>
        </is>
      </c>
      <c r="H6" s="2" t="inlineStr"/>
      <c r="I6" s="4" t="n">
        <v>0</v>
      </c>
      <c r="J6" s="2" t="inlineStr">
        <is>
          <t>In Progress</t>
        </is>
      </c>
      <c r="K6" s="2" t="inlineStr">
        <is>
          <t>Parts ordered</t>
        </is>
      </c>
    </row>
  </sheetData>
  <conditionalFormatting sqref="F2:F50">
    <cfRule type="cellIs" priority="1" operator="equal" dxfId="0">
      <formula>"High"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6" customWidth="1" min="4" max="4"/>
    <col width="20" customWidth="1" min="5" max="5"/>
    <col width="14" customWidth="1" min="6" max="6"/>
    <col width="14" customWidth="1" min="7" max="7"/>
    <col width="16" customWidth="1" min="8" max="8"/>
    <col width="8" customWidth="1" min="9" max="9"/>
    <col width="24" customWidth="1" min="10" max="10"/>
  </cols>
  <sheetData>
    <row r="1">
      <c r="A1" s="1" t="inlineStr">
        <is>
          <t>Date</t>
        </is>
      </c>
      <c r="B1" s="1" t="inlineStr">
        <is>
          <t>Property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Vendor</t>
        </is>
      </c>
      <c r="F1" s="1" t="inlineStr">
        <is>
          <t>Amount</t>
        </is>
      </c>
      <c r="G1" s="1" t="inlineStr">
        <is>
          <t>Payment Method</t>
        </is>
      </c>
      <c r="H1" s="1" t="inlineStr">
        <is>
          <t>Tax Deductible</t>
        </is>
      </c>
      <c r="I1" s="1" t="inlineStr">
        <is>
          <t>Receipt</t>
        </is>
      </c>
      <c r="J1" s="1" t="inlineStr">
        <is>
          <t>Notes</t>
        </is>
      </c>
    </row>
    <row r="2">
      <c r="A2" s="2" t="inlineStr">
        <is>
          <t>2026-01-01</t>
        </is>
      </c>
      <c r="B2" s="2" t="inlineStr">
        <is>
          <t>Maple St Duplex</t>
        </is>
      </c>
      <c r="C2" s="2" t="inlineStr">
        <is>
          <t>Mortgage</t>
        </is>
      </c>
      <c r="D2" s="2" t="inlineStr">
        <is>
          <t>Monthly mortgage payment</t>
        </is>
      </c>
      <c r="E2" s="2" t="inlineStr">
        <is>
          <t>First National Bank</t>
        </is>
      </c>
      <c r="F2" s="4" t="n">
        <v>1450</v>
      </c>
      <c r="G2" s="2" t="inlineStr">
        <is>
          <t>Auto-pay</t>
        </is>
      </c>
      <c r="H2" s="2" t="inlineStr">
        <is>
          <t>Partial (interest)</t>
        </is>
      </c>
      <c r="I2" s="2" t="inlineStr">
        <is>
          <t>✓</t>
        </is>
      </c>
      <c r="J2" s="2" t="inlineStr"/>
    </row>
    <row r="3">
      <c r="A3" s="2" t="inlineStr">
        <is>
          <t>2026-01-01</t>
        </is>
      </c>
      <c r="B3" s="2" t="inlineStr">
        <is>
          <t>Oak Ave Apts</t>
        </is>
      </c>
      <c r="C3" s="2" t="inlineStr">
        <is>
          <t>Mortgage</t>
        </is>
      </c>
      <c r="D3" s="2" t="inlineStr">
        <is>
          <t>Monthly mortgage payment</t>
        </is>
      </c>
      <c r="E3" s="2" t="inlineStr">
        <is>
          <t>Wells Fargo</t>
        </is>
      </c>
      <c r="F3" s="4" t="n">
        <v>5800</v>
      </c>
      <c r="G3" s="2" t="inlineStr">
        <is>
          <t>Auto-pay</t>
        </is>
      </c>
      <c r="H3" s="2" t="inlineStr">
        <is>
          <t>Partial (interest)</t>
        </is>
      </c>
      <c r="I3" s="2" t="inlineStr">
        <is>
          <t>✓</t>
        </is>
      </c>
      <c r="J3" s="2" t="inlineStr"/>
    </row>
    <row r="4">
      <c r="A4" s="2" t="inlineStr">
        <is>
          <t>2026-01-05</t>
        </is>
      </c>
      <c r="B4" s="2" t="inlineStr">
        <is>
          <t>All Properties</t>
        </is>
      </c>
      <c r="C4" s="2" t="inlineStr">
        <is>
          <t>Insurance</t>
        </is>
      </c>
      <c r="D4" s="2" t="inlineStr">
        <is>
          <t>Quarterly premium</t>
        </is>
      </c>
      <c r="E4" s="2" t="inlineStr">
        <is>
          <t>State Farm</t>
        </is>
      </c>
      <c r="F4" s="4" t="n">
        <v>2400</v>
      </c>
      <c r="G4" s="2" t="inlineStr">
        <is>
          <t>Check</t>
        </is>
      </c>
      <c r="H4" s="2" t="inlineStr">
        <is>
          <t>Yes</t>
        </is>
      </c>
      <c r="I4" s="2" t="inlineStr">
        <is>
          <t>✓</t>
        </is>
      </c>
      <c r="J4" s="2" t="inlineStr">
        <is>
          <t>Covers all 5 properties</t>
        </is>
      </c>
    </row>
    <row r="5">
      <c r="A5" s="2" t="inlineStr">
        <is>
          <t>2026-01-15</t>
        </is>
      </c>
      <c r="B5" s="2" t="inlineStr">
        <is>
          <t>Maple St Duplex</t>
        </is>
      </c>
      <c r="C5" s="2" t="inlineStr">
        <is>
          <t>Repairs</t>
        </is>
      </c>
      <c r="D5" s="2" t="inlineStr">
        <is>
          <t>Kitchen faucet repair</t>
        </is>
      </c>
      <c r="E5" s="2" t="inlineStr">
        <is>
          <t>Bob's Plumbing</t>
        </is>
      </c>
      <c r="F5" s="4" t="n">
        <v>185</v>
      </c>
      <c r="G5" s="2" t="inlineStr">
        <is>
          <t>Credit Card</t>
        </is>
      </c>
      <c r="H5" s="2" t="inlineStr">
        <is>
          <t>Yes</t>
        </is>
      </c>
      <c r="I5" s="2" t="inlineStr">
        <is>
          <t>✓</t>
        </is>
      </c>
      <c r="J5" s="2" t="inlineStr"/>
    </row>
    <row r="6">
      <c r="A6" s="2" t="inlineStr">
        <is>
          <t>2026-01-22</t>
        </is>
      </c>
      <c r="B6" s="2" t="inlineStr">
        <is>
          <t>Oak Ave Apts</t>
        </is>
      </c>
      <c r="C6" s="2" t="inlineStr">
        <is>
          <t>Repairs</t>
        </is>
      </c>
      <c r="D6" s="2" t="inlineStr">
        <is>
          <t>Heater repair</t>
        </is>
      </c>
      <c r="E6" s="2" t="inlineStr">
        <is>
          <t>HVAC Pros</t>
        </is>
      </c>
      <c r="F6" s="4" t="n">
        <v>350</v>
      </c>
      <c r="G6" s="2" t="inlineStr">
        <is>
          <t>Check</t>
        </is>
      </c>
      <c r="H6" s="2" t="inlineStr">
        <is>
          <t>Yes</t>
        </is>
      </c>
      <c r="I6" s="2" t="inlineStr">
        <is>
          <t>✓</t>
        </is>
      </c>
      <c r="J6" s="2" t="inlineStr">
        <is>
          <t>Unit 201</t>
        </is>
      </c>
    </row>
    <row r="7">
      <c r="A7" s="2" t="inlineStr">
        <is>
          <t>2026-02-01</t>
        </is>
      </c>
      <c r="B7" s="2" t="inlineStr">
        <is>
          <t>All Properties</t>
        </is>
      </c>
      <c r="C7" s="2" t="inlineStr">
        <is>
          <t>Management</t>
        </is>
      </c>
      <c r="D7" s="2" t="inlineStr">
        <is>
          <t>Property management fee</t>
        </is>
      </c>
      <c r="E7" s="2" t="inlineStr">
        <is>
          <t>Self</t>
        </is>
      </c>
      <c r="F7" s="4" t="n">
        <v>0</v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Self-managed</t>
        </is>
      </c>
    </row>
    <row r="8">
      <c r="A8" s="2" t="inlineStr">
        <is>
          <t>2026-02-01</t>
        </is>
      </c>
      <c r="B8" s="2" t="inlineStr">
        <is>
          <t>Pine Rd House</t>
        </is>
      </c>
      <c r="C8" s="2" t="inlineStr">
        <is>
          <t>Mortgage</t>
        </is>
      </c>
      <c r="D8" s="2" t="inlineStr">
        <is>
          <t>Monthly mortgage payment</t>
        </is>
      </c>
      <c r="E8" s="2" t="inlineStr">
        <is>
          <t>Chase Bank</t>
        </is>
      </c>
      <c r="F8" s="4" t="n">
        <v>1850</v>
      </c>
      <c r="G8" s="2" t="inlineStr">
        <is>
          <t>Auto-pay</t>
        </is>
      </c>
      <c r="H8" s="2" t="inlineStr">
        <is>
          <t>Partial (interest)</t>
        </is>
      </c>
      <c r="I8" s="2" t="inlineStr">
        <is>
          <t>✓</t>
        </is>
      </c>
      <c r="J8" s="2" t="inlineStr"/>
    </row>
    <row r="10">
      <c r="E10" s="5" t="inlineStr">
        <is>
          <t>TOTAL EXPENSES:</t>
        </is>
      </c>
      <c r="F10" s="8">
        <f>SUM(F2:F8)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Category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Annual Total</t>
        </is>
      </c>
    </row>
    <row r="2">
      <c r="A2" s="9" t="inlineStr">
        <is>
          <t>INCOME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Rental Income</t>
        </is>
      </c>
      <c r="B3" s="4" t="n">
        <v>24700</v>
      </c>
      <c r="C3" s="4" t="n">
        <v>24700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>
        <f>SUM(B3:M3)</f>
        <v/>
      </c>
    </row>
    <row r="4">
      <c r="A4" s="2" t="inlineStr">
        <is>
          <t>Late Fees</t>
        </is>
      </c>
      <c r="B4" s="4" t="n">
        <v>0</v>
      </c>
      <c r="C4" s="4" t="n">
        <v>75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>
        <f>SUM(B4:M4)</f>
        <v/>
      </c>
    </row>
    <row r="5">
      <c r="A5" s="2" t="inlineStr">
        <is>
          <t>Other Income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>
        <f>SUM(B5:M5)</f>
        <v/>
      </c>
    </row>
    <row r="6">
      <c r="A6" s="10" t="inlineStr">
        <is>
          <t>TOTAL INCOME</t>
        </is>
      </c>
      <c r="B6" s="11">
        <f>SUM(B3:B5)</f>
        <v/>
      </c>
      <c r="C6" s="11">
        <f>SUM(C3:C5)</f>
        <v/>
      </c>
      <c r="D6" s="11">
        <f>SUM(D3:D5)</f>
        <v/>
      </c>
      <c r="E6" s="11">
        <f>SUM(E3:E5)</f>
        <v/>
      </c>
      <c r="F6" s="11">
        <f>SUM(F3:F5)</f>
        <v/>
      </c>
      <c r="G6" s="11">
        <f>SUM(G3:G5)</f>
        <v/>
      </c>
      <c r="H6" s="11">
        <f>SUM(H3:H5)</f>
        <v/>
      </c>
      <c r="I6" s="11">
        <f>SUM(I3:I5)</f>
        <v/>
      </c>
      <c r="J6" s="11">
        <f>SUM(J3:J5)</f>
        <v/>
      </c>
      <c r="K6" s="11">
        <f>SUM(K3:K5)</f>
        <v/>
      </c>
      <c r="L6" s="11">
        <f>SUM(L3:L5)</f>
        <v/>
      </c>
      <c r="M6" s="11">
        <f>SUM(M3:M5)</f>
        <v/>
      </c>
      <c r="N6" s="11">
        <f>SUM(N3:N5)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9" t="inlineStr">
        <is>
          <t>EXPENSES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Mortgage/Loans</t>
        </is>
      </c>
      <c r="B9" s="4" t="n">
        <v>9100</v>
      </c>
      <c r="C9" s="4" t="n">
        <v>9100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>
        <f>SUM(B9:M9)</f>
        <v/>
      </c>
    </row>
    <row r="10">
      <c r="A10" s="2" t="inlineStr">
        <is>
          <t>Property Tax</t>
        </is>
      </c>
      <c r="B10" s="4" t="n">
        <v>2200</v>
      </c>
      <c r="C10" s="4" t="n">
        <v>2200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>
        <f>SUM(B10:M10)</f>
        <v/>
      </c>
    </row>
    <row r="11">
      <c r="A11" s="2" t="inlineStr">
        <is>
          <t>Insurance</t>
        </is>
      </c>
      <c r="B11" s="4" t="n">
        <v>800</v>
      </c>
      <c r="C11" s="4" t="n">
        <v>800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>
        <f>SUM(B11:M11)</f>
        <v/>
      </c>
    </row>
    <row r="12">
      <c r="A12" s="2" t="inlineStr">
        <is>
          <t>Repairs &amp; Maintenance</t>
        </is>
      </c>
      <c r="B12" s="4" t="n">
        <v>500</v>
      </c>
      <c r="C12" s="4" t="n">
        <v>500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>
        <f>SUM(B12:M12)</f>
        <v/>
      </c>
    </row>
    <row r="13">
      <c r="A13" s="2" t="inlineStr">
        <is>
          <t>Utilities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>
        <f>SUM(B13:M13)</f>
        <v/>
      </c>
    </row>
    <row r="14">
      <c r="A14" s="2" t="inlineStr">
        <is>
          <t>Management Fees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>
        <f>SUM(B14:M14)</f>
        <v/>
      </c>
    </row>
    <row r="15">
      <c r="A15" s="2" t="inlineStr">
        <is>
          <t>Advertising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>
        <f>SUM(B15:M15)</f>
        <v/>
      </c>
    </row>
    <row r="16">
      <c r="A16" s="2" t="inlineStr">
        <is>
          <t>Legal &amp; Professional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>
        <f>SUM(B16:M16)</f>
        <v/>
      </c>
    </row>
    <row r="17">
      <c r="A17" s="2" t="inlineStr">
        <is>
          <t>Miscellaneous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>
        <f>SUM(B17:M17)</f>
        <v/>
      </c>
    </row>
    <row r="18">
      <c r="A18" s="10" t="inlineStr">
        <is>
          <t>TOTAL EXPENSES</t>
        </is>
      </c>
      <c r="B18" s="11">
        <f>SUM(B9:B17)</f>
        <v/>
      </c>
      <c r="C18" s="11">
        <f>SUM(C9:C17)</f>
        <v/>
      </c>
      <c r="D18" s="11">
        <f>SUM(D9:D17)</f>
        <v/>
      </c>
      <c r="E18" s="11">
        <f>SUM(E9:E17)</f>
        <v/>
      </c>
      <c r="F18" s="11">
        <f>SUM(F9:F17)</f>
        <v/>
      </c>
      <c r="G18" s="11">
        <f>SUM(G9:G17)</f>
        <v/>
      </c>
      <c r="H18" s="11">
        <f>SUM(H9:H17)</f>
        <v/>
      </c>
      <c r="I18" s="11">
        <f>SUM(I9:I17)</f>
        <v/>
      </c>
      <c r="J18" s="11">
        <f>SUM(J9:J17)</f>
        <v/>
      </c>
      <c r="K18" s="11">
        <f>SUM(K9:K17)</f>
        <v/>
      </c>
      <c r="L18" s="11">
        <f>SUM(L9:L17)</f>
        <v/>
      </c>
      <c r="M18" s="11">
        <f>SUM(M9:M17)</f>
        <v/>
      </c>
      <c r="N18" s="11">
        <f>SUM(N9:N17)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12" t="inlineStr">
        <is>
          <t>NET OPERATING INCOME</t>
        </is>
      </c>
      <c r="B20" s="13">
        <f>B6-B18</f>
        <v/>
      </c>
      <c r="C20" s="13">
        <f>C6-C18</f>
        <v/>
      </c>
      <c r="D20" s="13">
        <f>D6-D18</f>
        <v/>
      </c>
      <c r="E20" s="13">
        <f>E6-E18</f>
        <v/>
      </c>
      <c r="F20" s="13">
        <f>F6-F18</f>
        <v/>
      </c>
      <c r="G20" s="13">
        <f>G6-G18</f>
        <v/>
      </c>
      <c r="H20" s="13">
        <f>H6-H18</f>
        <v/>
      </c>
      <c r="I20" s="13">
        <f>I6-I18</f>
        <v/>
      </c>
      <c r="J20" s="13">
        <f>J6-J18</f>
        <v/>
      </c>
      <c r="K20" s="13">
        <f>K6-K18</f>
        <v/>
      </c>
      <c r="L20" s="13">
        <f>L6-L18</f>
        <v/>
      </c>
      <c r="M20" s="13">
        <f>M6-M18</f>
        <v/>
      </c>
      <c r="N20" s="13">
        <f>N6-N18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2026-02-16T20:36:11Z</dcterms:created>
  <dcterms:modified xmlns:dcterms="http://purl.org/dc/terms/" xmlns:xsi="http://www.w3.org/2001/XMLSchema-instance" xsi:type="dcterms:W3CDTF">2026-02-16T20:36:11Z</dcterms:modified>
</cp:coreProperties>
</file>