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entory Tracker" sheetId="1" state="visible" r:id="rId1"/>
    <sheet xmlns:r="http://schemas.openxmlformats.org/officeDocument/2006/relationships" name="Food Cost Calculator" sheetId="2" state="visible" r:id="rId2"/>
    <sheet xmlns:r="http://schemas.openxmlformats.org/officeDocument/2006/relationships" name="Order Log" sheetId="3" state="visible" r:id="rId3"/>
    <sheet xmlns:r="http://schemas.openxmlformats.org/officeDocument/2006/relationships" name="Waste Log" sheetId="4" state="visible" r:id="rId4"/>
    <sheet xmlns:r="http://schemas.openxmlformats.org/officeDocument/2006/relationships" name="Supplier 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A3C6E"/>
        <bgColor rgb="001A3C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wrapText="1"/>
    </xf>
    <xf numFmtId="164" fontId="0" fillId="0" borderId="1" applyAlignment="1" pivotButton="0" quotePrefix="0" xfId="0">
      <alignment wrapText="1"/>
    </xf>
    <xf numFmtId="0" fontId="2" fillId="0" borderId="0" pivotButton="0" quotePrefix="0" xfId="0"/>
    <xf numFmtId="164" fontId="2" fillId="0" borderId="0" pivotButton="0" quotePrefix="0" xfId="0"/>
    <xf numFmtId="165" fontId="0" fillId="0" borderId="1" applyAlignment="1" pivotButton="0" quotePrefix="0" xfId="0">
      <alignment wrapText="1"/>
    </xf>
    <xf numFmtId="9" fontId="0" fillId="0" borderId="1" applyAlignment="1" pivotButton="0" quotePrefix="0" xfId="0">
      <alignment wrapText="1"/>
    </xf>
  </cellXfs>
  <cellStyles count="1">
    <cellStyle name="Normal" xfId="0" builtinId="0" hidden="0"/>
  </cellStyles>
  <dxfs count="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Item Name</t>
        </is>
      </c>
      <c r="B1" s="1" t="inlineStr">
        <is>
          <t>Category</t>
        </is>
      </c>
      <c r="C1" s="1" t="inlineStr">
        <is>
          <t>Unit</t>
        </is>
      </c>
      <c r="D1" s="1" t="inlineStr">
        <is>
          <t>Par Level</t>
        </is>
      </c>
      <c r="E1" s="1" t="inlineStr">
        <is>
          <t>On Hand</t>
        </is>
      </c>
      <c r="F1" s="1" t="inlineStr">
        <is>
          <t>Reorder?</t>
        </is>
      </c>
      <c r="G1" s="1" t="inlineStr">
        <is>
          <t>Unit Cost</t>
        </is>
      </c>
      <c r="H1" s="1" t="inlineStr">
        <is>
          <t>Total Value</t>
        </is>
      </c>
      <c r="I1" s="1" t="inlineStr">
        <is>
          <t>Supplier</t>
        </is>
      </c>
      <c r="J1" s="1" t="inlineStr">
        <is>
          <t>Last Updated</t>
        </is>
      </c>
    </row>
    <row r="2">
      <c r="A2" s="2" t="inlineStr">
        <is>
          <t>All-Purpose Flour</t>
        </is>
      </c>
      <c r="B2" s="2" t="inlineStr">
        <is>
          <t>Dry Goods</t>
        </is>
      </c>
      <c r="C2" s="2" t="inlineStr">
        <is>
          <t>50 lb bag</t>
        </is>
      </c>
      <c r="D2" s="2" t="n">
        <v>5</v>
      </c>
      <c r="E2" s="2" t="n">
        <v>3</v>
      </c>
      <c r="F2" s="2">
        <f>IF(E2&lt;D2,"⚠️ REORDER","OK")</f>
        <v/>
      </c>
      <c r="G2" s="3" t="n">
        <v>18.5</v>
      </c>
      <c r="H2" s="3">
        <f>E2*G2</f>
        <v/>
      </c>
      <c r="I2" s="2" t="inlineStr">
        <is>
          <t>US Foods</t>
        </is>
      </c>
      <c r="J2" s="2" t="inlineStr">
        <is>
          <t>2026-02-15</t>
        </is>
      </c>
    </row>
    <row r="3">
      <c r="A3" s="2" t="inlineStr">
        <is>
          <t>Olive Oil (Extra Virgin)</t>
        </is>
      </c>
      <c r="B3" s="2" t="inlineStr">
        <is>
          <t>Oils</t>
        </is>
      </c>
      <c r="C3" s="2" t="inlineStr">
        <is>
          <t>Gallon</t>
        </is>
      </c>
      <c r="D3" s="2" t="n">
        <v>4</v>
      </c>
      <c r="E3" s="2" t="n">
        <v>6</v>
      </c>
      <c r="F3" s="2">
        <f>IF(E3&lt;D3,"⚠️ REORDER","OK")</f>
        <v/>
      </c>
      <c r="G3" s="3" t="n">
        <v>22</v>
      </c>
      <c r="H3" s="3">
        <f>E3*G3</f>
        <v/>
      </c>
      <c r="I3" s="2" t="inlineStr">
        <is>
          <t>Sysco</t>
        </is>
      </c>
      <c r="J3" s="2" t="inlineStr">
        <is>
          <t>2026-02-15</t>
        </is>
      </c>
    </row>
    <row r="4">
      <c r="A4" s="2" t="inlineStr">
        <is>
          <t>Chicken Breast</t>
        </is>
      </c>
      <c r="B4" s="2" t="inlineStr">
        <is>
          <t>Protein</t>
        </is>
      </c>
      <c r="C4" s="2" t="inlineStr">
        <is>
          <t>Case (40 lb)</t>
        </is>
      </c>
      <c r="D4" s="2" t="n">
        <v>3</v>
      </c>
      <c r="E4" s="2" t="n">
        <v>1</v>
      </c>
      <c r="F4" s="2">
        <f>IF(E4&lt;D4,"⚠️ REORDER","OK")</f>
        <v/>
      </c>
      <c r="G4" s="3" t="n">
        <v>89</v>
      </c>
      <c r="H4" s="3">
        <f>E4*G4</f>
        <v/>
      </c>
      <c r="I4" s="2" t="inlineStr">
        <is>
          <t>US Foods</t>
        </is>
      </c>
      <c r="J4" s="2" t="inlineStr">
        <is>
          <t>2026-02-14</t>
        </is>
      </c>
    </row>
    <row r="5">
      <c r="A5" s="2" t="inlineStr">
        <is>
          <t>Heavy Cream</t>
        </is>
      </c>
      <c r="B5" s="2" t="inlineStr">
        <is>
          <t>Dairy</t>
        </is>
      </c>
      <c r="C5" s="2" t="inlineStr">
        <is>
          <t>Quart</t>
        </is>
      </c>
      <c r="D5" s="2" t="n">
        <v>10</v>
      </c>
      <c r="E5" s="2" t="n">
        <v>4</v>
      </c>
      <c r="F5" s="2">
        <f>IF(E5&lt;D5,"⚠️ REORDER","OK")</f>
        <v/>
      </c>
      <c r="G5" s="3" t="n">
        <v>4.5</v>
      </c>
      <c r="H5" s="3">
        <f>E5*G5</f>
        <v/>
      </c>
      <c r="I5" s="2" t="inlineStr">
        <is>
          <t>Local Dairy Co</t>
        </is>
      </c>
      <c r="J5" s="2" t="inlineStr">
        <is>
          <t>2026-02-15</t>
        </is>
      </c>
    </row>
    <row r="6">
      <c r="A6" s="2" t="inlineStr">
        <is>
          <t>Roma Tomatoes</t>
        </is>
      </c>
      <c r="B6" s="2" t="inlineStr">
        <is>
          <t>Produce</t>
        </is>
      </c>
      <c r="C6" s="2" t="inlineStr">
        <is>
          <t>Case (25 lb)</t>
        </is>
      </c>
      <c r="D6" s="2" t="n">
        <v>4</v>
      </c>
      <c r="E6" s="2" t="n">
        <v>2</v>
      </c>
      <c r="F6" s="2">
        <f>IF(E6&lt;D6,"⚠️ REORDER","OK")</f>
        <v/>
      </c>
      <c r="G6" s="3" t="n">
        <v>32</v>
      </c>
      <c r="H6" s="3">
        <f>E6*G6</f>
        <v/>
      </c>
      <c r="I6" s="2" t="inlineStr">
        <is>
          <t>Fresh Direct</t>
        </is>
      </c>
      <c r="J6" s="2" t="inlineStr">
        <is>
          <t>2026-02-15</t>
        </is>
      </c>
    </row>
    <row r="7">
      <c r="A7" s="2" t="inlineStr">
        <is>
          <t>Parmesan Cheese</t>
        </is>
      </c>
      <c r="B7" s="2" t="inlineStr">
        <is>
          <t>Dairy</t>
        </is>
      </c>
      <c r="C7" s="2" t="inlineStr">
        <is>
          <t>Wheel (5 lb)</t>
        </is>
      </c>
      <c r="D7" s="2" t="n">
        <v>2</v>
      </c>
      <c r="E7" s="2" t="n">
        <v>3</v>
      </c>
      <c r="F7" s="2">
        <f>IF(E7&lt;D7,"⚠️ REORDER","OK")</f>
        <v/>
      </c>
      <c r="G7" s="3" t="n">
        <v>45</v>
      </c>
      <c r="H7" s="3">
        <f>E7*G7</f>
        <v/>
      </c>
      <c r="I7" s="2" t="inlineStr">
        <is>
          <t>Specialty Foods</t>
        </is>
      </c>
      <c r="J7" s="2" t="inlineStr">
        <is>
          <t>2026-02-13</t>
        </is>
      </c>
    </row>
    <row r="8">
      <c r="A8" s="2" t="inlineStr">
        <is>
          <t>Garlic</t>
        </is>
      </c>
      <c r="B8" s="2" t="inlineStr">
        <is>
          <t>Produce</t>
        </is>
      </c>
      <c r="C8" s="2" t="inlineStr">
        <is>
          <t>Case (5 lb)</t>
        </is>
      </c>
      <c r="D8" s="2" t="n">
        <v>3</v>
      </c>
      <c r="E8" s="2" t="n">
        <v>1</v>
      </c>
      <c r="F8" s="2">
        <f>IF(E8&lt;D8,"⚠️ REORDER","OK")</f>
        <v/>
      </c>
      <c r="G8" s="3" t="n">
        <v>15</v>
      </c>
      <c r="H8" s="3">
        <f>E8*G8</f>
        <v/>
      </c>
      <c r="I8" s="2" t="inlineStr">
        <is>
          <t>Fresh Direct</t>
        </is>
      </c>
      <c r="J8" s="2" t="inlineStr">
        <is>
          <t>2026-02-15</t>
        </is>
      </c>
    </row>
    <row r="9">
      <c r="A9" s="2" t="inlineStr">
        <is>
          <t>Salmon Fillet</t>
        </is>
      </c>
      <c r="B9" s="2" t="inlineStr">
        <is>
          <t>Protein</t>
        </is>
      </c>
      <c r="C9" s="2" t="inlineStr">
        <is>
          <t>Case (10 lb)</t>
        </is>
      </c>
      <c r="D9" s="2" t="n">
        <v>2</v>
      </c>
      <c r="E9" s="2" t="n">
        <v>2</v>
      </c>
      <c r="F9" s="2">
        <f>IF(E9&lt;D9,"⚠️ REORDER","OK")</f>
        <v/>
      </c>
      <c r="G9" s="3" t="n">
        <v>125</v>
      </c>
      <c r="H9" s="3">
        <f>E9*G9</f>
        <v/>
      </c>
      <c r="I9" s="2" t="inlineStr">
        <is>
          <t>Ocean Fresh</t>
        </is>
      </c>
      <c r="J9" s="2" t="inlineStr">
        <is>
          <t>2026-02-14</t>
        </is>
      </c>
    </row>
    <row r="10">
      <c r="A10" s="2" t="inlineStr">
        <is>
          <t>Spaghetti Pasta</t>
        </is>
      </c>
      <c r="B10" s="2" t="inlineStr">
        <is>
          <t>Dry Goods</t>
        </is>
      </c>
      <c r="C10" s="2" t="inlineStr">
        <is>
          <t>Case (20 lb)</t>
        </is>
      </c>
      <c r="D10" s="2" t="n">
        <v>4</v>
      </c>
      <c r="E10" s="2" t="n">
        <v>5</v>
      </c>
      <c r="F10" s="2">
        <f>IF(E10&lt;D10,"⚠️ REORDER","OK")</f>
        <v/>
      </c>
      <c r="G10" s="3" t="n">
        <v>24</v>
      </c>
      <c r="H10" s="3">
        <f>E10*G10</f>
        <v/>
      </c>
      <c r="I10" s="2" t="inlineStr">
        <is>
          <t>US Foods</t>
        </is>
      </c>
      <c r="J10" s="2" t="inlineStr">
        <is>
          <t>2026-02-12</t>
        </is>
      </c>
    </row>
    <row r="11">
      <c r="A11" s="2" t="inlineStr">
        <is>
          <t>Unsalted Butter</t>
        </is>
      </c>
      <c r="B11" s="2" t="inlineStr">
        <is>
          <t>Dairy</t>
        </is>
      </c>
      <c r="C11" s="2" t="inlineStr">
        <is>
          <t>Case (36 ct)</t>
        </is>
      </c>
      <c r="D11" s="2" t="n">
        <v>3</v>
      </c>
      <c r="E11" s="2" t="n">
        <v>2</v>
      </c>
      <c r="F11" s="2">
        <f>IF(E11&lt;D11,"⚠️ REORDER","OK")</f>
        <v/>
      </c>
      <c r="G11" s="3" t="n">
        <v>85</v>
      </c>
      <c r="H11" s="3">
        <f>E11*G11</f>
        <v/>
      </c>
      <c r="I11" s="2" t="inlineStr">
        <is>
          <t>Sysco</t>
        </is>
      </c>
      <c r="J11" s="2" t="inlineStr">
        <is>
          <t>2026-02-15</t>
        </is>
      </c>
    </row>
    <row r="13">
      <c r="F13" s="4" t="inlineStr">
        <is>
          <t>TOTAL INVENTORY VALUE:</t>
        </is>
      </c>
      <c r="H13" s="5">
        <f>SUM(H2:H11)</f>
        <v/>
      </c>
    </row>
  </sheetData>
  <conditionalFormatting sqref="F2:F100">
    <cfRule type="cellIs" priority="1" operator="equal" dxfId="0">
      <formula>"⚠️ REORDER"</formula>
    </cfRule>
    <cfRule type="cellIs" priority="2" operator="equal" dxfId="1">
      <formula>"OK"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</cols>
  <sheetData>
    <row r="1">
      <c r="A1" s="1" t="inlineStr">
        <is>
          <t>Menu Item</t>
        </is>
      </c>
      <c r="B1" s="1" t="inlineStr">
        <is>
          <t>Selling Price</t>
        </is>
      </c>
      <c r="C1" s="1" t="inlineStr">
        <is>
          <t>Ingredient 1</t>
        </is>
      </c>
      <c r="D1" s="1" t="inlineStr">
        <is>
          <t>Cost 1</t>
        </is>
      </c>
      <c r="E1" s="1" t="inlineStr">
        <is>
          <t>Ingredient 2</t>
        </is>
      </c>
      <c r="F1" s="1" t="inlineStr">
        <is>
          <t>Cost 2</t>
        </is>
      </c>
      <c r="G1" s="1" t="inlineStr">
        <is>
          <t>Ingredient 3</t>
        </is>
      </c>
      <c r="H1" s="1" t="inlineStr">
        <is>
          <t>Cost 3</t>
        </is>
      </c>
      <c r="I1" s="1" t="inlineStr">
        <is>
          <t>Ingredient 4</t>
        </is>
      </c>
      <c r="J1" s="1" t="inlineStr">
        <is>
          <t>Cost 4</t>
        </is>
      </c>
      <c r="K1" s="1" t="inlineStr">
        <is>
          <t>Total Food Cost</t>
        </is>
      </c>
      <c r="L1" s="1" t="inlineStr">
        <is>
          <t>Food Cost %</t>
        </is>
      </c>
      <c r="M1" s="1" t="inlineStr">
        <is>
          <t>Gross Profit</t>
        </is>
      </c>
      <c r="N1" s="1" t="inlineStr">
        <is>
          <t>Target Cost %</t>
        </is>
      </c>
      <c r="O1" s="1" t="inlineStr">
        <is>
          <t>Status</t>
        </is>
      </c>
    </row>
    <row r="2">
      <c r="A2" s="2" t="inlineStr">
        <is>
          <t>Grilled Salmon</t>
        </is>
      </c>
      <c r="B2" s="3" t="n">
        <v>28</v>
      </c>
      <c r="C2" s="2" t="inlineStr">
        <is>
          <t>Salmon</t>
        </is>
      </c>
      <c r="D2" s="3" t="n">
        <v>6.5</v>
      </c>
      <c r="E2" s="2" t="inlineStr">
        <is>
          <t>Vegetables</t>
        </is>
      </c>
      <c r="F2" s="3" t="n">
        <v>1.2</v>
      </c>
      <c r="G2" s="2" t="inlineStr">
        <is>
          <t>Sauce</t>
        </is>
      </c>
      <c r="H2" s="3" t="n">
        <v>0.8</v>
      </c>
      <c r="I2" s="2" t="inlineStr">
        <is>
          <t>Rice</t>
        </is>
      </c>
      <c r="J2" s="3" t="n">
        <v>0.4</v>
      </c>
      <c r="K2" s="3">
        <f>D2+F2+H2+J2</f>
        <v/>
      </c>
      <c r="L2" s="6">
        <f>K2/B2</f>
        <v/>
      </c>
      <c r="M2" s="3">
        <f>B2-K2</f>
        <v/>
      </c>
      <c r="N2" s="7" t="n">
        <v>0.3</v>
      </c>
      <c r="O2" s="2">
        <f>IF(L2&gt;N2,"⚠️ OVER TARGET","✅ GOOD")</f>
        <v/>
      </c>
    </row>
    <row r="3">
      <c r="A3" s="2" t="inlineStr">
        <is>
          <t>Chicken Parmesan</t>
        </is>
      </c>
      <c r="B3" s="3" t="n">
        <v>22</v>
      </c>
      <c r="C3" s="2" t="inlineStr">
        <is>
          <t>Chicken</t>
        </is>
      </c>
      <c r="D3" s="3" t="n">
        <v>3.5</v>
      </c>
      <c r="E3" s="2" t="inlineStr">
        <is>
          <t>Pasta</t>
        </is>
      </c>
      <c r="F3" s="3" t="n">
        <v>0.6</v>
      </c>
      <c r="G3" s="2" t="inlineStr">
        <is>
          <t>Sauce</t>
        </is>
      </c>
      <c r="H3" s="3" t="n">
        <v>0.9</v>
      </c>
      <c r="I3" s="2" t="inlineStr">
        <is>
          <t>Cheese</t>
        </is>
      </c>
      <c r="J3" s="3" t="n">
        <v>1.5</v>
      </c>
      <c r="K3" s="3">
        <f>D3+F3+H3+J3</f>
        <v/>
      </c>
      <c r="L3" s="6">
        <f>K3/B3</f>
        <v/>
      </c>
      <c r="M3" s="3">
        <f>B3-K3</f>
        <v/>
      </c>
      <c r="N3" s="7" t="n">
        <v>0.3</v>
      </c>
      <c r="O3" s="2">
        <f>IF(L3&gt;N3,"⚠️ OVER TARGET","✅ GOOD")</f>
        <v/>
      </c>
    </row>
    <row r="4">
      <c r="A4" s="2" t="inlineStr">
        <is>
          <t>Caesar Salad</t>
        </is>
      </c>
      <c r="B4" s="3" t="n">
        <v>14</v>
      </c>
      <c r="C4" s="2" t="inlineStr">
        <is>
          <t>Romaine</t>
        </is>
      </c>
      <c r="D4" s="3" t="n">
        <v>1</v>
      </c>
      <c r="E4" s="2" t="inlineStr">
        <is>
          <t>Dressing</t>
        </is>
      </c>
      <c r="F4" s="3" t="n">
        <v>0.5</v>
      </c>
      <c r="G4" s="2" t="inlineStr">
        <is>
          <t>Croutons</t>
        </is>
      </c>
      <c r="H4" s="3" t="n">
        <v>0.3</v>
      </c>
      <c r="I4" s="2" t="inlineStr">
        <is>
          <t>Parmesan</t>
        </is>
      </c>
      <c r="J4" s="3" t="n">
        <v>0.8</v>
      </c>
      <c r="K4" s="3">
        <f>D4+F4+H4+J4</f>
        <v/>
      </c>
      <c r="L4" s="6">
        <f>K4/B4</f>
        <v/>
      </c>
      <c r="M4" s="3">
        <f>B4-K4</f>
        <v/>
      </c>
      <c r="N4" s="7" t="n">
        <v>0.3</v>
      </c>
      <c r="O4" s="2">
        <f>IF(L4&gt;N4,"⚠️ OVER TARGET","✅ GOOD")</f>
        <v/>
      </c>
    </row>
    <row r="5">
      <c r="A5" s="2" t="inlineStr">
        <is>
          <t>Filet Mignon</t>
        </is>
      </c>
      <c r="B5" s="3" t="n">
        <v>42</v>
      </c>
      <c r="C5" s="2" t="inlineStr">
        <is>
          <t>Beef Filet</t>
        </is>
      </c>
      <c r="D5" s="3" t="n">
        <v>14</v>
      </c>
      <c r="E5" s="2" t="inlineStr">
        <is>
          <t>Potato</t>
        </is>
      </c>
      <c r="F5" s="3" t="n">
        <v>0.8</v>
      </c>
      <c r="G5" s="2" t="inlineStr">
        <is>
          <t>Vegetables</t>
        </is>
      </c>
      <c r="H5" s="3" t="n">
        <v>1</v>
      </c>
      <c r="I5" s="2" t="inlineStr">
        <is>
          <t>Butter</t>
        </is>
      </c>
      <c r="J5" s="3" t="n">
        <v>0.4</v>
      </c>
      <c r="K5" s="3">
        <f>D5+F5+H5+J5</f>
        <v/>
      </c>
      <c r="L5" s="6">
        <f>K5/B5</f>
        <v/>
      </c>
      <c r="M5" s="3">
        <f>B5-K5</f>
        <v/>
      </c>
      <c r="N5" s="7" t="n">
        <v>0.3</v>
      </c>
      <c r="O5" s="2">
        <f>IF(L5&gt;N5,"⚠️ OVER TARGET","✅ GOOD")</f>
        <v/>
      </c>
    </row>
    <row r="6">
      <c r="A6" s="2" t="inlineStr">
        <is>
          <t>Pasta Primavera</t>
        </is>
      </c>
      <c r="B6" s="3" t="n">
        <v>18</v>
      </c>
      <c r="C6" s="2" t="inlineStr">
        <is>
          <t>Pasta</t>
        </is>
      </c>
      <c r="D6" s="3" t="n">
        <v>0.5</v>
      </c>
      <c r="E6" s="2" t="inlineStr">
        <is>
          <t>Vegetables</t>
        </is>
      </c>
      <c r="F6" s="3" t="n">
        <v>2</v>
      </c>
      <c r="G6" s="2" t="inlineStr">
        <is>
          <t>Cream</t>
        </is>
      </c>
      <c r="H6" s="3" t="n">
        <v>0.8</v>
      </c>
      <c r="I6" s="2" t="inlineStr">
        <is>
          <t>Cheese</t>
        </is>
      </c>
      <c r="J6" s="3" t="n">
        <v>1</v>
      </c>
      <c r="K6" s="3">
        <f>D6+F6+H6+J6</f>
        <v/>
      </c>
      <c r="L6" s="6">
        <f>K6/B6</f>
        <v/>
      </c>
      <c r="M6" s="3">
        <f>B6-K6</f>
        <v/>
      </c>
      <c r="N6" s="7" t="n">
        <v>0.3</v>
      </c>
      <c r="O6" s="2">
        <f>IF(L6&gt;N6,"⚠️ OVER TARGET","✅ GOOD")</f>
        <v/>
      </c>
    </row>
    <row r="7">
      <c r="A7" s="2" t="inlineStr">
        <is>
          <t>Fish Tacos</t>
        </is>
      </c>
      <c r="B7" s="3" t="n">
        <v>16</v>
      </c>
      <c r="C7" s="2" t="inlineStr">
        <is>
          <t>Fish</t>
        </is>
      </c>
      <c r="D7" s="3" t="n">
        <v>3</v>
      </c>
      <c r="E7" s="2" t="inlineStr">
        <is>
          <t>Tortillas</t>
        </is>
      </c>
      <c r="F7" s="3" t="n">
        <v>0.4</v>
      </c>
      <c r="G7" s="2" t="inlineStr">
        <is>
          <t>Slaw</t>
        </is>
      </c>
      <c r="H7" s="3" t="n">
        <v>0.6</v>
      </c>
      <c r="I7" s="2" t="inlineStr">
        <is>
          <t>Sauce</t>
        </is>
      </c>
      <c r="J7" s="3" t="n">
        <v>0.3</v>
      </c>
      <c r="K7" s="3">
        <f>D7+F7+H7+J7</f>
        <v/>
      </c>
      <c r="L7" s="6">
        <f>K7/B7</f>
        <v/>
      </c>
      <c r="M7" s="3">
        <f>B7-K7</f>
        <v/>
      </c>
      <c r="N7" s="7" t="n">
        <v>0.3</v>
      </c>
      <c r="O7" s="2">
        <f>IF(L7&gt;N7,"⚠️ OVER TARGET","✅ GOOD")</f>
        <v/>
      </c>
    </row>
  </sheetData>
  <conditionalFormatting sqref="L2:L100">
    <cfRule type="cellIs" priority="1" operator="greaterThan" dxfId="0">
      <formula>0.35</formula>
    </cfRule>
    <cfRule type="cellIs" priority="2" operator="lessThanOrEqual" dxfId="1">
      <formula>0.30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Order Date</t>
        </is>
      </c>
      <c r="B1" s="1" t="inlineStr">
        <is>
          <t>Supplier</t>
        </is>
      </c>
      <c r="C1" s="1" t="inlineStr">
        <is>
          <t>PO Number</t>
        </is>
      </c>
      <c r="D1" s="1" t="inlineStr">
        <is>
          <t>Items Ordered</t>
        </is>
      </c>
      <c r="E1" s="1" t="inlineStr">
        <is>
          <t>Qty</t>
        </is>
      </c>
      <c r="F1" s="1" t="inlineStr">
        <is>
          <t>Unit Cost</t>
        </is>
      </c>
      <c r="G1" s="1" t="inlineStr">
        <is>
          <t>Line Total</t>
        </is>
      </c>
      <c r="H1" s="1" t="inlineStr">
        <is>
          <t>Received Date</t>
        </is>
      </c>
      <c r="I1" s="1" t="inlineStr">
        <is>
          <t>Received Qty</t>
        </is>
      </c>
      <c r="J1" s="1" t="inlineStr">
        <is>
          <t>Discrepancy</t>
        </is>
      </c>
      <c r="K1" s="1" t="inlineStr">
        <is>
          <t>Status</t>
        </is>
      </c>
      <c r="L1" s="1" t="inlineStr">
        <is>
          <t>Notes</t>
        </is>
      </c>
    </row>
    <row r="2">
      <c r="A2" s="2" t="inlineStr">
        <is>
          <t>2026-02-10</t>
        </is>
      </c>
      <c r="B2" s="2" t="inlineStr">
        <is>
          <t>US Foods</t>
        </is>
      </c>
      <c r="C2" s="2" t="inlineStr">
        <is>
          <t>PO-2026-001</t>
        </is>
      </c>
      <c r="D2" s="2" t="inlineStr">
        <is>
          <t>All-Purpose Flour</t>
        </is>
      </c>
      <c r="E2" s="2" t="n">
        <v>5</v>
      </c>
      <c r="F2" s="3" t="n">
        <v>18.5</v>
      </c>
      <c r="G2" s="3">
        <f>E2*F2</f>
        <v/>
      </c>
      <c r="H2" s="2" t="inlineStr">
        <is>
          <t>2026-02-12</t>
        </is>
      </c>
      <c r="I2" s="2" t="n">
        <v>5</v>
      </c>
      <c r="J2" s="2">
        <f>E2-I2</f>
        <v/>
      </c>
      <c r="K2" s="2" t="inlineStr">
        <is>
          <t>Received</t>
        </is>
      </c>
      <c r="L2" s="2" t="inlineStr"/>
    </row>
    <row r="3">
      <c r="A3" s="2" t="inlineStr">
        <is>
          <t>2026-02-10</t>
        </is>
      </c>
      <c r="B3" s="2" t="inlineStr">
        <is>
          <t>US Foods</t>
        </is>
      </c>
      <c r="C3" s="2" t="inlineStr">
        <is>
          <t>PO-2026-001</t>
        </is>
      </c>
      <c r="D3" s="2" t="inlineStr">
        <is>
          <t>Chicken Breast</t>
        </is>
      </c>
      <c r="E3" s="2" t="n">
        <v>3</v>
      </c>
      <c r="F3" s="3" t="n">
        <v>89</v>
      </c>
      <c r="G3" s="3">
        <f>E3*F3</f>
        <v/>
      </c>
      <c r="H3" s="2" t="inlineStr">
        <is>
          <t>2026-02-12</t>
        </is>
      </c>
      <c r="I3" s="2" t="n">
        <v>3</v>
      </c>
      <c r="J3" s="2">
        <f>E3-I3</f>
        <v/>
      </c>
      <c r="K3" s="2" t="inlineStr">
        <is>
          <t>Received</t>
        </is>
      </c>
      <c r="L3" s="2" t="inlineStr"/>
    </row>
    <row r="4">
      <c r="A4" s="2" t="inlineStr">
        <is>
          <t>2026-02-11</t>
        </is>
      </c>
      <c r="B4" s="2" t="inlineStr">
        <is>
          <t>Sysco</t>
        </is>
      </c>
      <c r="C4" s="2" t="inlineStr">
        <is>
          <t>PO-2026-002</t>
        </is>
      </c>
      <c r="D4" s="2" t="inlineStr">
        <is>
          <t>Olive Oil</t>
        </is>
      </c>
      <c r="E4" s="2" t="n">
        <v>4</v>
      </c>
      <c r="F4" s="3" t="n">
        <v>22</v>
      </c>
      <c r="G4" s="3">
        <f>E4*F4</f>
        <v/>
      </c>
      <c r="H4" s="2" t="inlineStr">
        <is>
          <t>2026-02-13</t>
        </is>
      </c>
      <c r="I4" s="2" t="n">
        <v>4</v>
      </c>
      <c r="J4" s="2">
        <f>E4-I4</f>
        <v/>
      </c>
      <c r="K4" s="2" t="inlineStr">
        <is>
          <t>Received</t>
        </is>
      </c>
      <c r="L4" s="2" t="inlineStr"/>
    </row>
    <row r="5">
      <c r="A5" s="2" t="inlineStr">
        <is>
          <t>2026-02-13</t>
        </is>
      </c>
      <c r="B5" s="2" t="inlineStr">
        <is>
          <t>Fresh Direct</t>
        </is>
      </c>
      <c r="C5" s="2" t="inlineStr">
        <is>
          <t>PO-2026-003</t>
        </is>
      </c>
      <c r="D5" s="2" t="inlineStr">
        <is>
          <t>Roma Tomatoes</t>
        </is>
      </c>
      <c r="E5" s="2" t="n">
        <v>4</v>
      </c>
      <c r="F5" s="3" t="n">
        <v>32</v>
      </c>
      <c r="G5" s="3">
        <f>E5*F5</f>
        <v/>
      </c>
      <c r="H5" s="2" t="inlineStr">
        <is>
          <t>2026-02-14</t>
        </is>
      </c>
      <c r="I5" s="2" t="n">
        <v>3</v>
      </c>
      <c r="J5" s="2">
        <f>E5-I5</f>
        <v/>
      </c>
      <c r="K5" s="2" t="inlineStr">
        <is>
          <t>Short</t>
        </is>
      </c>
      <c r="L5" s="2" t="inlineStr">
        <is>
          <t>1 case damaged</t>
        </is>
      </c>
    </row>
    <row r="6">
      <c r="A6" s="2" t="inlineStr">
        <is>
          <t>2026-02-14</t>
        </is>
      </c>
      <c r="B6" s="2" t="inlineStr">
        <is>
          <t>Ocean Fresh</t>
        </is>
      </c>
      <c r="C6" s="2" t="inlineStr">
        <is>
          <t>PO-2026-004</t>
        </is>
      </c>
      <c r="D6" s="2" t="inlineStr">
        <is>
          <t>Salmon Fillet</t>
        </is>
      </c>
      <c r="E6" s="2" t="n">
        <v>3</v>
      </c>
      <c r="F6" s="3" t="n">
        <v>125</v>
      </c>
      <c r="G6" s="3">
        <f>E6*F6</f>
        <v/>
      </c>
      <c r="H6" s="2" t="inlineStr"/>
      <c r="I6" s="2" t="n">
        <v>0</v>
      </c>
      <c r="J6" s="2">
        <f>E6-I6</f>
        <v/>
      </c>
      <c r="K6" s="2" t="inlineStr">
        <is>
          <t>Pending</t>
        </is>
      </c>
      <c r="L6" s="2" t="inlineStr">
        <is>
          <t>Expected 2/16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1" t="inlineStr">
        <is>
          <t>Date</t>
        </is>
      </c>
      <c r="B1" s="1" t="inlineStr">
        <is>
          <t>Item</t>
        </is>
      </c>
      <c r="C1" s="1" t="inlineStr">
        <is>
          <t>Category</t>
        </is>
      </c>
      <c r="D1" s="1" t="inlineStr">
        <is>
          <t>Qty Wasted</t>
        </is>
      </c>
      <c r="E1" s="1" t="inlineStr">
        <is>
          <t>Unit</t>
        </is>
      </c>
      <c r="F1" s="1" t="inlineStr">
        <is>
          <t>Unit Cost</t>
        </is>
      </c>
      <c r="G1" s="1" t="inlineStr">
        <is>
          <t>Waste Cost</t>
        </is>
      </c>
      <c r="H1" s="1" t="inlineStr">
        <is>
          <t>Reason</t>
        </is>
      </c>
      <c r="I1" s="1" t="inlineStr">
        <is>
          <t>Logged By</t>
        </is>
      </c>
      <c r="J1" s="1" t="inlineStr">
        <is>
          <t>Prevention Notes</t>
        </is>
      </c>
    </row>
    <row r="2">
      <c r="A2" s="2" t="inlineStr">
        <is>
          <t>2026-02-12</t>
        </is>
      </c>
      <c r="B2" s="2" t="inlineStr">
        <is>
          <t>Heavy Cream</t>
        </is>
      </c>
      <c r="C2" s="2" t="inlineStr">
        <is>
          <t>Dairy</t>
        </is>
      </c>
      <c r="D2" s="2" t="n">
        <v>3</v>
      </c>
      <c r="E2" s="2" t="inlineStr">
        <is>
          <t>Quart</t>
        </is>
      </c>
      <c r="F2" s="3" t="n">
        <v>4.5</v>
      </c>
      <c r="G2" s="3">
        <f>D2*F2</f>
        <v/>
      </c>
      <c r="H2" s="2" t="inlineStr">
        <is>
          <t>Expired</t>
        </is>
      </c>
      <c r="I2" s="2" t="inlineStr">
        <is>
          <t>Chef Mike</t>
        </is>
      </c>
      <c r="J2" s="2" t="inlineStr">
        <is>
          <t>Order smaller qty</t>
        </is>
      </c>
    </row>
    <row r="3">
      <c r="A3" s="2" t="inlineStr">
        <is>
          <t>2026-02-13</t>
        </is>
      </c>
      <c r="B3" s="2" t="inlineStr">
        <is>
          <t>Romaine Lettuce</t>
        </is>
      </c>
      <c r="C3" s="2" t="inlineStr">
        <is>
          <t>Produce</t>
        </is>
      </c>
      <c r="D3" s="2" t="n">
        <v>2</v>
      </c>
      <c r="E3" s="2" t="inlineStr">
        <is>
          <t>Head</t>
        </is>
      </c>
      <c r="F3" s="3" t="n">
        <v>2.5</v>
      </c>
      <c r="G3" s="3">
        <f>D3*F3</f>
        <v/>
      </c>
      <c r="H3" s="2" t="inlineStr">
        <is>
          <t>Wilted</t>
        </is>
      </c>
      <c r="I3" s="2" t="inlineStr">
        <is>
          <t>Prep Cook</t>
        </is>
      </c>
      <c r="J3" s="2" t="inlineStr">
        <is>
          <t>Better rotation</t>
        </is>
      </c>
    </row>
    <row r="4">
      <c r="A4" s="2" t="inlineStr">
        <is>
          <t>2026-02-14</t>
        </is>
      </c>
      <c r="B4" s="2" t="inlineStr">
        <is>
          <t>Salmon</t>
        </is>
      </c>
      <c r="C4" s="2" t="inlineStr">
        <is>
          <t>Protein</t>
        </is>
      </c>
      <c r="D4" s="2" t="n">
        <v>1.5</v>
      </c>
      <c r="E4" s="2" t="inlineStr">
        <is>
          <t>lb</t>
        </is>
      </c>
      <c r="F4" s="3" t="n">
        <v>12.5</v>
      </c>
      <c r="G4" s="3">
        <f>D4*F4</f>
        <v/>
      </c>
      <c r="H4" s="2" t="inlineStr">
        <is>
          <t>Overcooked</t>
        </is>
      </c>
      <c r="I4" s="2" t="inlineStr">
        <is>
          <t>Line Cook</t>
        </is>
      </c>
      <c r="J4" s="2" t="inlineStr">
        <is>
          <t>Training needed</t>
        </is>
      </c>
    </row>
    <row r="5">
      <c r="A5" s="2" t="inlineStr">
        <is>
          <t>2026-02-15</t>
        </is>
      </c>
      <c r="B5" s="2" t="inlineStr">
        <is>
          <t>Bread Rolls</t>
        </is>
      </c>
      <c r="C5" s="2" t="inlineStr">
        <is>
          <t>Bakery</t>
        </is>
      </c>
      <c r="D5" s="2" t="n">
        <v>12</v>
      </c>
      <c r="E5" s="2" t="inlineStr">
        <is>
          <t>Each</t>
        </is>
      </c>
      <c r="F5" s="3" t="n">
        <v>0.75</v>
      </c>
      <c r="G5" s="3">
        <f>D5*F5</f>
        <v/>
      </c>
      <c r="H5" s="2" t="inlineStr">
        <is>
          <t>Stale</t>
        </is>
      </c>
      <c r="I5" s="2" t="inlineStr">
        <is>
          <t>FOH</t>
        </is>
      </c>
      <c r="J5" s="2" t="inlineStr">
        <is>
          <t>Reduce par level</t>
        </is>
      </c>
    </row>
    <row r="8">
      <c r="E8" s="4" t="inlineStr">
        <is>
          <t>TOTAL WASTE THIS PERIOD:</t>
        </is>
      </c>
      <c r="G8" s="5">
        <f>SUM(G2:G6)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" t="inlineStr">
        <is>
          <t>Supplier Name</t>
        </is>
      </c>
      <c r="B1" s="1" t="inlineStr">
        <is>
          <t>Contact Person</t>
        </is>
      </c>
      <c r="C1" s="1" t="inlineStr">
        <is>
          <t>Phone</t>
        </is>
      </c>
      <c r="D1" s="1" t="inlineStr">
        <is>
          <t>Email</t>
        </is>
      </c>
      <c r="E1" s="1" t="inlineStr">
        <is>
          <t>Address</t>
        </is>
      </c>
      <c r="F1" s="1" t="inlineStr">
        <is>
          <t>Account #</t>
        </is>
      </c>
      <c r="G1" s="1" t="inlineStr">
        <is>
          <t>Payment Terms</t>
        </is>
      </c>
      <c r="H1" s="1" t="inlineStr">
        <is>
          <t>Min Order</t>
        </is>
      </c>
      <c r="I1" s="1" t="inlineStr">
        <is>
          <t>Delivery Days</t>
        </is>
      </c>
      <c r="J1" s="1" t="inlineStr">
        <is>
          <t>Categories</t>
        </is>
      </c>
      <c r="K1" s="1" t="inlineStr">
        <is>
          <t>Rating</t>
        </is>
      </c>
      <c r="L1" s="1" t="inlineStr">
        <is>
          <t>Notes</t>
        </is>
      </c>
    </row>
    <row r="2">
      <c r="A2" s="2" t="inlineStr">
        <is>
          <t>US Foods</t>
        </is>
      </c>
      <c r="B2" s="2" t="inlineStr">
        <is>
          <t>John Smith</t>
        </is>
      </c>
      <c r="C2" s="2" t="inlineStr">
        <is>
          <t>(555) 123-4567</t>
        </is>
      </c>
      <c r="D2" s="2" t="inlineStr">
        <is>
          <t>john@usfoods.com</t>
        </is>
      </c>
      <c r="E2" s="2" t="inlineStr">
        <is>
          <t>123 Distribution Way</t>
        </is>
      </c>
      <c r="F2" s="2" t="inlineStr">
        <is>
          <t>USF-12345</t>
        </is>
      </c>
      <c r="G2" s="2" t="inlineStr">
        <is>
          <t>Net 30</t>
        </is>
      </c>
      <c r="H2" s="2" t="inlineStr">
        <is>
          <t>$500</t>
        </is>
      </c>
      <c r="I2" s="2" t="inlineStr">
        <is>
          <t>Tue, Thu</t>
        </is>
      </c>
      <c r="J2" s="2" t="inlineStr">
        <is>
          <t>Dry Goods, Protein</t>
        </is>
      </c>
      <c r="K2" s="2" t="inlineStr">
        <is>
          <t>★★★★★</t>
        </is>
      </c>
      <c r="L2" s="2" t="inlineStr">
        <is>
          <t>Primary supplier</t>
        </is>
      </c>
    </row>
    <row r="3">
      <c r="A3" s="2" t="inlineStr">
        <is>
          <t>Sysco</t>
        </is>
      </c>
      <c r="B3" s="2" t="inlineStr">
        <is>
          <t>Jane Doe</t>
        </is>
      </c>
      <c r="C3" s="2" t="inlineStr">
        <is>
          <t>(555) 234-5678</t>
        </is>
      </c>
      <c r="D3" s="2" t="inlineStr">
        <is>
          <t>jane@sysco.com</t>
        </is>
      </c>
      <c r="E3" s="2" t="inlineStr">
        <is>
          <t>456 Supply Rd</t>
        </is>
      </c>
      <c r="F3" s="2" t="inlineStr">
        <is>
          <t>SYS-67890</t>
        </is>
      </c>
      <c r="G3" s="2" t="inlineStr">
        <is>
          <t>Net 30</t>
        </is>
      </c>
      <c r="H3" s="2" t="inlineStr">
        <is>
          <t>$300</t>
        </is>
      </c>
      <c r="I3" s="2" t="inlineStr">
        <is>
          <t>Mon, Wed, Fri</t>
        </is>
      </c>
      <c r="J3" s="2" t="inlineStr">
        <is>
          <t>Oils, Dairy, Equipment</t>
        </is>
      </c>
      <c r="K3" s="2" t="inlineStr">
        <is>
          <t>★★★★</t>
        </is>
      </c>
      <c r="L3" s="2" t="inlineStr">
        <is>
          <t>Good pricing on dairy</t>
        </is>
      </c>
    </row>
    <row r="4">
      <c r="A4" s="2" t="inlineStr">
        <is>
          <t>Fresh Direct</t>
        </is>
      </c>
      <c r="B4" s="2" t="inlineStr">
        <is>
          <t>Bob Fresh</t>
        </is>
      </c>
      <c r="C4" s="2" t="inlineStr">
        <is>
          <t>(555) 345-6789</t>
        </is>
      </c>
      <c r="D4" s="2" t="inlineStr">
        <is>
          <t>bob@freshdirect.com</t>
        </is>
      </c>
      <c r="E4" s="2" t="inlineStr">
        <is>
          <t>789 Farm Ln</t>
        </is>
      </c>
      <c r="F4" s="2" t="inlineStr">
        <is>
          <t>FD-11111</t>
        </is>
      </c>
      <c r="G4" s="2" t="inlineStr">
        <is>
          <t>Net 15</t>
        </is>
      </c>
      <c r="H4" s="2" t="inlineStr">
        <is>
          <t>$200</t>
        </is>
      </c>
      <c r="I4" s="2" t="inlineStr">
        <is>
          <t>Daily</t>
        </is>
      </c>
      <c r="J4" s="2" t="inlineStr">
        <is>
          <t>Produce</t>
        </is>
      </c>
      <c r="K4" s="2" t="inlineStr">
        <is>
          <t>★★★★★</t>
        </is>
      </c>
      <c r="L4" s="2" t="inlineStr">
        <is>
          <t>Best produce quality</t>
        </is>
      </c>
    </row>
    <row r="5">
      <c r="A5" s="2" t="inlineStr">
        <is>
          <t>Ocean Fresh</t>
        </is>
      </c>
      <c r="B5" s="2" t="inlineStr">
        <is>
          <t>Sara Waters</t>
        </is>
      </c>
      <c r="C5" s="2" t="inlineStr">
        <is>
          <t>(555) 456-7890</t>
        </is>
      </c>
      <c r="D5" s="2" t="inlineStr">
        <is>
          <t>sara@oceanfresh.com</t>
        </is>
      </c>
      <c r="E5" s="2" t="inlineStr">
        <is>
          <t>321 Harbor Dr</t>
        </is>
      </c>
      <c r="F5" s="2" t="inlineStr">
        <is>
          <t>OF-22222</t>
        </is>
      </c>
      <c r="G5" s="2" t="inlineStr">
        <is>
          <t>Net 15</t>
        </is>
      </c>
      <c r="H5" s="2" t="inlineStr">
        <is>
          <t>$400</t>
        </is>
      </c>
      <c r="I5" s="2" t="inlineStr">
        <is>
          <t>Tue, Fri</t>
        </is>
      </c>
      <c r="J5" s="2" t="inlineStr">
        <is>
          <t>Seafood</t>
        </is>
      </c>
      <c r="K5" s="2" t="inlineStr">
        <is>
          <t>★★★★</t>
        </is>
      </c>
      <c r="L5" s="2" t="inlineStr">
        <is>
          <t>Order by noon day before</t>
        </is>
      </c>
    </row>
    <row r="6">
      <c r="A6" s="2" t="inlineStr">
        <is>
          <t>Local Dairy Co</t>
        </is>
      </c>
      <c r="B6" s="2" t="inlineStr">
        <is>
          <t>Tom Miller</t>
        </is>
      </c>
      <c r="C6" s="2" t="inlineStr">
        <is>
          <t>(555) 567-8901</t>
        </is>
      </c>
      <c r="D6" s="2" t="inlineStr">
        <is>
          <t>tom@localdairy.com</t>
        </is>
      </c>
      <c r="E6" s="2" t="inlineStr">
        <is>
          <t>654 Pasture Ave</t>
        </is>
      </c>
      <c r="F6" s="2" t="inlineStr">
        <is>
          <t>LDC-33333</t>
        </is>
      </c>
      <c r="G6" s="2" t="inlineStr">
        <is>
          <t>COD</t>
        </is>
      </c>
      <c r="H6" s="2" t="inlineStr">
        <is>
          <t>$100</t>
        </is>
      </c>
      <c r="I6" s="2" t="inlineStr">
        <is>
          <t>Mon, Wed</t>
        </is>
      </c>
      <c r="J6" s="2" t="inlineStr">
        <is>
          <t>Dairy, Eggs</t>
        </is>
      </c>
      <c r="K6" s="2" t="inlineStr">
        <is>
          <t>★★★★★</t>
        </is>
      </c>
      <c r="L6" s="2" t="inlineStr">
        <is>
          <t>Farm fresh, premium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2026-02-16T20:36:11Z</dcterms:created>
  <dcterms:modified xmlns:dcterms="http://purl.org/dc/terms/" xmlns:xsi="http://www.w3.org/2001/XMLSchema-instance" xsi:type="dcterms:W3CDTF">2026-02-16T20:36:11Z</dcterms:modified>
</cp:coreProperties>
</file>