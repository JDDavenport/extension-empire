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B3A62"/>
        <bgColor rgb="008B3A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Size</t>
        </is>
      </c>
      <c r="E1" s="1" t="inlineStr">
        <is>
          <t>Retail Price</t>
        </is>
      </c>
      <c r="F1" s="1" t="inlineStr">
        <is>
          <t>Cost</t>
        </is>
      </c>
      <c r="G1" s="1" t="inlineStr">
        <is>
          <t>Margin %</t>
        </is>
      </c>
      <c r="H1" s="1" t="inlineStr">
        <is>
          <t>In Stock</t>
        </is>
      </c>
      <c r="I1" s="1" t="inlineStr">
        <is>
          <t>Min Stock</t>
        </is>
      </c>
      <c r="J1" s="1" t="inlineStr">
        <is>
          <t>Reorder?</t>
        </is>
      </c>
      <c r="K1" s="1" t="inlineStr">
        <is>
          <t>Supplier</t>
        </is>
      </c>
      <c r="L1" s="1" t="inlineStr">
        <is>
          <t>Last Ordered</t>
        </is>
      </c>
    </row>
    <row r="2">
      <c r="A2" s="2" t="inlineStr">
        <is>
          <t>Moisture Shampoo</t>
        </is>
      </c>
      <c r="B2" s="2" t="inlineStr">
        <is>
          <t>Olaplex</t>
        </is>
      </c>
      <c r="C2" s="2" t="inlineStr">
        <is>
          <t>Shampoo</t>
        </is>
      </c>
      <c r="D2" s="2" t="inlineStr">
        <is>
          <t>8.5 oz</t>
        </is>
      </c>
      <c r="E2" s="3" t="n">
        <v>30</v>
      </c>
      <c r="F2" s="3" t="n">
        <v>15</v>
      </c>
      <c r="G2" s="4">
        <f>(E2-F2)/E2</f>
        <v/>
      </c>
      <c r="H2" s="2" t="n">
        <v>8</v>
      </c>
      <c r="I2" s="2" t="n">
        <v>4</v>
      </c>
      <c r="J2" s="2">
        <f>IF(H2&lt;I2,"⚠️ REORDER","OK")</f>
        <v/>
      </c>
      <c r="K2" s="2" t="inlineStr">
        <is>
          <t>Beauty Dist Co</t>
        </is>
      </c>
      <c r="L2" s="2" t="inlineStr">
        <is>
          <t>2026-01-15</t>
        </is>
      </c>
    </row>
    <row r="3">
      <c r="A3" s="2" t="inlineStr">
        <is>
          <t>Repair Conditioner</t>
        </is>
      </c>
      <c r="B3" s="2" t="inlineStr">
        <is>
          <t>Olaplex</t>
        </is>
      </c>
      <c r="C3" s="2" t="inlineStr">
        <is>
          <t>Conditioner</t>
        </is>
      </c>
      <c r="D3" s="2" t="inlineStr">
        <is>
          <t>8.5 oz</t>
        </is>
      </c>
      <c r="E3" s="3" t="n">
        <v>30</v>
      </c>
      <c r="F3" s="3" t="n">
        <v>15</v>
      </c>
      <c r="G3" s="4">
        <f>(E3-F3)/E3</f>
        <v/>
      </c>
      <c r="H3" s="2" t="n">
        <v>6</v>
      </c>
      <c r="I3" s="2" t="n">
        <v>4</v>
      </c>
      <c r="J3" s="2">
        <f>IF(H3&lt;I3,"⚠️ REORDER","OK")</f>
        <v/>
      </c>
      <c r="K3" s="2" t="inlineStr">
        <is>
          <t>Beauty Dist Co</t>
        </is>
      </c>
      <c r="L3" s="2" t="inlineStr">
        <is>
          <t>2026-01-15</t>
        </is>
      </c>
    </row>
    <row r="4">
      <c r="A4" s="2" t="inlineStr">
        <is>
          <t>Heat Protectant Spray</t>
        </is>
      </c>
      <c r="B4" s="2" t="inlineStr">
        <is>
          <t>Chi</t>
        </is>
      </c>
      <c r="C4" s="2" t="inlineStr">
        <is>
          <t>Styling</t>
        </is>
      </c>
      <c r="D4" s="2" t="inlineStr">
        <is>
          <t>6 oz</t>
        </is>
      </c>
      <c r="E4" s="3" t="n">
        <v>18</v>
      </c>
      <c r="F4" s="3" t="n">
        <v>8</v>
      </c>
      <c r="G4" s="4">
        <f>(E4-F4)/E4</f>
        <v/>
      </c>
      <c r="H4" s="2" t="n">
        <v>12</v>
      </c>
      <c r="I4" s="2" t="n">
        <v>6</v>
      </c>
      <c r="J4" s="2">
        <f>IF(H4&lt;I4,"⚠️ REORDER","OK")</f>
        <v/>
      </c>
      <c r="K4" s="2" t="inlineStr">
        <is>
          <t>SalonCentric</t>
        </is>
      </c>
      <c r="L4" s="2" t="inlineStr">
        <is>
          <t>2026-02-01</t>
        </is>
      </c>
    </row>
    <row r="5">
      <c r="A5" s="2" t="inlineStr">
        <is>
          <t>Texturizing Spray</t>
        </is>
      </c>
      <c r="B5" s="2" t="inlineStr">
        <is>
          <t>Bumble &amp; Bumble</t>
        </is>
      </c>
      <c r="C5" s="2" t="inlineStr">
        <is>
          <t>Styling</t>
        </is>
      </c>
      <c r="D5" s="2" t="inlineStr">
        <is>
          <t>4 oz</t>
        </is>
      </c>
      <c r="E5" s="3" t="n">
        <v>32</v>
      </c>
      <c r="F5" s="3" t="n">
        <v>16</v>
      </c>
      <c r="G5" s="4">
        <f>(E5-F5)/E5</f>
        <v/>
      </c>
      <c r="H5" s="2" t="n">
        <v>3</v>
      </c>
      <c r="I5" s="2" t="n">
        <v>4</v>
      </c>
      <c r="J5" s="2">
        <f>IF(H5&lt;I5,"⚠️ REORDER","OK")</f>
        <v/>
      </c>
      <c r="K5" s="2" t="inlineStr">
        <is>
          <t>Beauty Dist Co</t>
        </is>
      </c>
      <c r="L5" s="2" t="inlineStr">
        <is>
          <t>2026-01-20</t>
        </is>
      </c>
    </row>
    <row r="6">
      <c r="A6" s="2" t="inlineStr">
        <is>
          <t>Color Depositing Mask</t>
        </is>
      </c>
      <c r="B6" s="2" t="inlineStr">
        <is>
          <t>Moroccanoil</t>
        </is>
      </c>
      <c r="C6" s="2" t="inlineStr">
        <is>
          <t>Treatment</t>
        </is>
      </c>
      <c r="D6" s="2" t="inlineStr">
        <is>
          <t>6.7 oz</t>
        </is>
      </c>
      <c r="E6" s="3" t="n">
        <v>34</v>
      </c>
      <c r="F6" s="3" t="n">
        <v>17</v>
      </c>
      <c r="G6" s="4">
        <f>(E6-F6)/E6</f>
        <v/>
      </c>
      <c r="H6" s="2" t="n">
        <v>5</v>
      </c>
      <c r="I6" s="2" t="n">
        <v>3</v>
      </c>
      <c r="J6" s="2">
        <f>IF(H6&lt;I6,"⚠️ REORDER","OK")</f>
        <v/>
      </c>
      <c r="K6" s="2" t="inlineStr">
        <is>
          <t>SalonCentric</t>
        </is>
      </c>
      <c r="L6" s="2" t="inlineStr">
        <is>
          <t>2026-02-10</t>
        </is>
      </c>
    </row>
    <row r="7">
      <c r="A7" s="2" t="inlineStr">
        <is>
          <t>Smoothing Serum</t>
        </is>
      </c>
      <c r="B7" s="2" t="inlineStr">
        <is>
          <t>Living Proof</t>
        </is>
      </c>
      <c r="C7" s="2" t="inlineStr">
        <is>
          <t>Styling</t>
        </is>
      </c>
      <c r="D7" s="2" t="inlineStr">
        <is>
          <t>1.7 oz</t>
        </is>
      </c>
      <c r="E7" s="3" t="n">
        <v>29</v>
      </c>
      <c r="F7" s="3" t="n">
        <v>14</v>
      </c>
      <c r="G7" s="4">
        <f>(E7-F7)/E7</f>
        <v/>
      </c>
      <c r="H7" s="2" t="n">
        <v>7</v>
      </c>
      <c r="I7" s="2" t="n">
        <v>4</v>
      </c>
      <c r="J7" s="2">
        <f>IF(H7&lt;I7,"⚠️ REORDER","OK")</f>
        <v/>
      </c>
      <c r="K7" s="2" t="inlineStr">
        <is>
          <t>SalonCentric</t>
        </is>
      </c>
      <c r="L7" s="2" t="inlineStr">
        <is>
          <t>2026-01-28</t>
        </is>
      </c>
    </row>
    <row r="8">
      <c r="A8" s="2" t="inlineStr">
        <is>
          <t>Dry Shampoo</t>
        </is>
      </c>
      <c r="B8" s="2" t="inlineStr">
        <is>
          <t>Batiste</t>
        </is>
      </c>
      <c r="C8" s="2" t="inlineStr">
        <is>
          <t>Shampoo</t>
        </is>
      </c>
      <c r="D8" s="2" t="inlineStr">
        <is>
          <t>6.7 oz</t>
        </is>
      </c>
      <c r="E8" s="3" t="n">
        <v>10</v>
      </c>
      <c r="F8" s="3" t="n">
        <v>4.5</v>
      </c>
      <c r="G8" s="4">
        <f>(E8-F8)/E8</f>
        <v/>
      </c>
      <c r="H8" s="2" t="n">
        <v>15</v>
      </c>
      <c r="I8" s="2" t="n">
        <v>8</v>
      </c>
      <c r="J8" s="2">
        <f>IF(H8&lt;I8,"⚠️ REORDER","OK")</f>
        <v/>
      </c>
      <c r="K8" s="2" t="inlineStr">
        <is>
          <t>Amazon Business</t>
        </is>
      </c>
      <c r="L8" s="2" t="inlineStr">
        <is>
          <t>2026-02-05</t>
        </is>
      </c>
    </row>
    <row r="9">
      <c r="A9" s="2" t="inlineStr">
        <is>
          <t>Hair Oil</t>
        </is>
      </c>
      <c r="B9" s="2" t="inlineStr">
        <is>
          <t>Moroccanoil</t>
        </is>
      </c>
      <c r="C9" s="2" t="inlineStr">
        <is>
          <t>Treatment</t>
        </is>
      </c>
      <c r="D9" s="2" t="inlineStr">
        <is>
          <t>3.4 oz</t>
        </is>
      </c>
      <c r="E9" s="3" t="n">
        <v>48</v>
      </c>
      <c r="F9" s="3" t="n">
        <v>24</v>
      </c>
      <c r="G9" s="4">
        <f>(E9-F9)/E9</f>
        <v/>
      </c>
      <c r="H9" s="2" t="n">
        <v>4</v>
      </c>
      <c r="I9" s="2" t="n">
        <v>3</v>
      </c>
      <c r="J9" s="2">
        <f>IF(H9&lt;I9,"⚠️ REORDER","OK")</f>
        <v/>
      </c>
      <c r="K9" s="2" t="inlineStr">
        <is>
          <t>SalonCentric</t>
        </is>
      </c>
      <c r="L9" s="2" t="inlineStr">
        <is>
          <t>2026-02-10</t>
        </is>
      </c>
    </row>
  </sheetData>
  <conditionalFormatting sqref="J2:J50">
    <cfRule type="cellIs" priority="1" operator="equal" dxfId="0">
      <formula>"⚠️ REORDER"</formula>
    </cfRule>
    <cfRule type="cellIs" priority="2" operator="equal" dxfId="1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2026-02-16T20:36:11Z</dcterms:created>
  <dcterms:modified xmlns:dcterms="http://purl.org/dc/terms/" xmlns:xsi="http://www.w3.org/2001/XMLSchema-instance" xsi:type="dcterms:W3CDTF">2026-02-16T20:36:11Z</dcterms:modified>
</cp:coreProperties>
</file>